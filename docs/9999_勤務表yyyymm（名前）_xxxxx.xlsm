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Totsuka20200531\Desktop\移行用\会社\AI研究会\"/>
    </mc:Choice>
  </mc:AlternateContent>
  <xr:revisionPtr revIDLastSave="0" documentId="13_ncr:1_{3E4D4B85-DCFF-4B7B-B34D-7F3BE2CC3738}" xr6:coauthVersionLast="47" xr6:coauthVersionMax="47" xr10:uidLastSave="{00000000-0000-0000-0000-000000000000}"/>
  <bookViews>
    <workbookView xWindow="-108" yWindow="-108" windowWidth="23256" windowHeight="12576" tabRatio="886" firstSheet="1" activeTab="2" xr2:uid="{6B17C61A-FEE6-42AD-A88B-A0E8212CA2A7}"/>
  </bookViews>
  <sheets>
    <sheet name="入力説明書" sheetId="1" r:id="rId1"/>
    <sheet name="祝日表" sheetId="6" r:id="rId2"/>
    <sheet name="勤務実績（月間）" sheetId="2" r:id="rId3"/>
    <sheet name="経費請求シート" sheetId="15" r:id="rId4"/>
    <sheet name="業務請求分明細（1シート目）" sheetId="19" r:id="rId5"/>
    <sheet name="業務請求分明細（2シート目）" sheetId="20" r:id="rId6"/>
    <sheet name="業務請求分明細（3シート目）" sheetId="21" r:id="rId7"/>
    <sheet name="エラーメッセージ一覧" sheetId="8" r:id="rId8"/>
    <sheet name="辞書" sheetId="16" r:id="rId9"/>
    <sheet name="データ" sheetId="5" state="hidden" r:id="rId10"/>
  </sheets>
  <definedNames>
    <definedName name="_xlnm._FilterDatabase" localSheetId="8" hidden="1">辞書!$C$2:$C$3</definedName>
    <definedName name="_xlnm.Print_Area" localSheetId="7">エラーメッセージ一覧!$A$1:$C$21</definedName>
    <definedName name="_xlnm.Print_Area" localSheetId="2">'勤務実績（月間）'!$A$1:$Q$44</definedName>
    <definedName name="種類">辞書!$B$2:$B$4</definedName>
    <definedName name="所属">辞書!$C$2:$C$3</definedName>
    <definedName name="組織">辞書!#REF!</definedName>
    <definedName name="費目a">辞書!$A$2:$A$5</definedName>
    <definedName name="費目b">辞書!$D$2:$D$6</definedName>
  </definedNames>
  <calcPr calcId="191029"/>
</workbook>
</file>

<file path=xl/calcChain.xml><?xml version="1.0" encoding="utf-8"?>
<calcChain xmlns="http://schemas.openxmlformats.org/spreadsheetml/2006/main">
  <c r="I3" i="2" l="1"/>
  <c r="B2" i="21"/>
  <c r="B2" i="20"/>
  <c r="B2" i="19"/>
  <c r="D1" i="8"/>
  <c r="C2" i="5"/>
  <c r="C4" i="5"/>
  <c r="D2" i="5"/>
  <c r="E32" i="5"/>
  <c r="F32" i="5"/>
  <c r="E30" i="5"/>
  <c r="F30" i="5"/>
  <c r="J1" i="19"/>
  <c r="F9" i="19"/>
  <c r="H9" i="19"/>
  <c r="J13" i="19"/>
  <c r="J30" i="19"/>
  <c r="J78" i="15"/>
  <c r="J81" i="15"/>
  <c r="J14" i="19"/>
  <c r="J15" i="19"/>
  <c r="J16" i="19"/>
  <c r="J17" i="19"/>
  <c r="J18" i="19"/>
  <c r="J19" i="19"/>
  <c r="J20" i="19"/>
  <c r="J21" i="19"/>
  <c r="J22" i="19"/>
  <c r="J23" i="19"/>
  <c r="J24" i="19"/>
  <c r="J25" i="19"/>
  <c r="J26" i="19"/>
  <c r="J27" i="19"/>
  <c r="J28" i="19"/>
  <c r="J29" i="19"/>
  <c r="G30" i="19"/>
  <c r="H30" i="19"/>
  <c r="I30" i="19"/>
  <c r="J1" i="20"/>
  <c r="F9" i="20"/>
  <c r="H9" i="20"/>
  <c r="J13" i="20"/>
  <c r="J30" i="20"/>
  <c r="J79" i="15"/>
  <c r="J14" i="20"/>
  <c r="J15" i="20"/>
  <c r="J16" i="20"/>
  <c r="J17" i="20"/>
  <c r="J18" i="20"/>
  <c r="J19" i="20"/>
  <c r="J20" i="20"/>
  <c r="J21" i="20"/>
  <c r="J22" i="20"/>
  <c r="J23" i="20"/>
  <c r="J24" i="20"/>
  <c r="J25" i="20"/>
  <c r="J26" i="20"/>
  <c r="J27" i="20"/>
  <c r="J28" i="20"/>
  <c r="J29" i="20"/>
  <c r="G30" i="20"/>
  <c r="H30" i="20"/>
  <c r="I30" i="20"/>
  <c r="J1" i="21"/>
  <c r="F9" i="21"/>
  <c r="H9" i="21"/>
  <c r="J13" i="21"/>
  <c r="J30" i="21"/>
  <c r="J80" i="15"/>
  <c r="J14" i="21"/>
  <c r="J15" i="21"/>
  <c r="J16" i="21"/>
  <c r="J17" i="21"/>
  <c r="J18" i="21"/>
  <c r="J19" i="21"/>
  <c r="J20" i="21"/>
  <c r="J21" i="21"/>
  <c r="J22" i="21"/>
  <c r="J23" i="21"/>
  <c r="J24" i="21"/>
  <c r="J25" i="21"/>
  <c r="J26" i="21"/>
  <c r="J27" i="21"/>
  <c r="J28" i="21"/>
  <c r="J29" i="21"/>
  <c r="G30" i="21"/>
  <c r="H30" i="21"/>
  <c r="I30" i="21"/>
  <c r="Q1" i="2"/>
  <c r="A3" i="2"/>
  <c r="D3" i="2"/>
  <c r="H7" i="2"/>
  <c r="I7" i="2"/>
  <c r="H8" i="2"/>
  <c r="I8" i="2"/>
  <c r="H9" i="2"/>
  <c r="I9" i="2"/>
  <c r="H10" i="2"/>
  <c r="I10" i="2"/>
  <c r="H11" i="2"/>
  <c r="I11" i="2"/>
  <c r="H12" i="2"/>
  <c r="I12" i="2"/>
  <c r="H13" i="2"/>
  <c r="I13" i="2"/>
  <c r="H14" i="2"/>
  <c r="I14" i="2"/>
  <c r="H15" i="2"/>
  <c r="I15" i="2"/>
  <c r="H16" i="2"/>
  <c r="I16" i="2"/>
  <c r="H17" i="2"/>
  <c r="I17" i="2"/>
  <c r="H18" i="2"/>
  <c r="I18" i="2"/>
  <c r="H19" i="2"/>
  <c r="I19" i="2"/>
  <c r="H20" i="2"/>
  <c r="I20" i="2"/>
  <c r="H21" i="2"/>
  <c r="I21" i="2"/>
  <c r="H22" i="2"/>
  <c r="I22" i="2"/>
  <c r="H23" i="2"/>
  <c r="I23" i="2"/>
  <c r="H24" i="2"/>
  <c r="I24" i="2"/>
  <c r="H25" i="2"/>
  <c r="I25" i="2"/>
  <c r="H26" i="2"/>
  <c r="I26" i="2"/>
  <c r="H27" i="2"/>
  <c r="I27" i="2"/>
  <c r="H28" i="2"/>
  <c r="I28" i="2"/>
  <c r="H29" i="2"/>
  <c r="I29" i="2"/>
  <c r="H30" i="2"/>
  <c r="I30" i="2"/>
  <c r="H31" i="2"/>
  <c r="I31" i="2"/>
  <c r="H32" i="2"/>
  <c r="I32" i="2"/>
  <c r="H33" i="2"/>
  <c r="I33" i="2"/>
  <c r="H34" i="2"/>
  <c r="I34" i="2"/>
  <c r="H35" i="2"/>
  <c r="I35" i="2"/>
  <c r="H36" i="2"/>
  <c r="I36" i="2"/>
  <c r="H37" i="2"/>
  <c r="I37" i="2"/>
  <c r="R38" i="2"/>
  <c r="S38" i="2"/>
  <c r="J39" i="2"/>
  <c r="L39" i="2"/>
  <c r="D1" i="15"/>
  <c r="K1" i="15"/>
  <c r="A4" i="15"/>
  <c r="B4" i="15"/>
  <c r="J41" i="15"/>
  <c r="J75" i="15"/>
  <c r="I1" i="1"/>
  <c r="F11" i="5"/>
  <c r="F20" i="5"/>
  <c r="F8" i="5"/>
  <c r="F12" i="5"/>
  <c r="F14" i="5"/>
  <c r="D1" i="2"/>
  <c r="F21" i="5"/>
  <c r="B1" i="2"/>
  <c r="A7" i="2"/>
  <c r="F5" i="5"/>
  <c r="F29" i="5"/>
  <c r="F26" i="5"/>
  <c r="F16" i="5"/>
  <c r="F24" i="5"/>
  <c r="F2" i="5"/>
  <c r="F3" i="5"/>
  <c r="F9" i="5"/>
  <c r="A8" i="2"/>
  <c r="B7" i="2"/>
  <c r="J83" i="15"/>
  <c r="F7" i="5"/>
  <c r="F22" i="5"/>
  <c r="F28" i="5"/>
  <c r="F25" i="5"/>
  <c r="F19" i="5"/>
  <c r="F17" i="5"/>
  <c r="F27" i="5"/>
  <c r="F6" i="5"/>
  <c r="E31" i="5"/>
  <c r="F31" i="5"/>
  <c r="F13" i="5"/>
  <c r="F10" i="5"/>
  <c r="F23" i="5"/>
  <c r="F4" i="5"/>
  <c r="F15" i="5"/>
  <c r="F18" i="5"/>
  <c r="B8" i="2"/>
  <c r="A9" i="2"/>
  <c r="A10" i="2"/>
  <c r="B9" i="2"/>
  <c r="B10" i="2"/>
  <c r="A11" i="2"/>
  <c r="B11" i="2"/>
  <c r="A12" i="2"/>
  <c r="B12" i="2"/>
  <c r="A13" i="2"/>
  <c r="A14" i="2"/>
  <c r="B13" i="2"/>
  <c r="A15" i="2"/>
  <c r="B14" i="2"/>
  <c r="B15" i="2"/>
  <c r="A16" i="2"/>
  <c r="A17" i="2"/>
  <c r="B16" i="2"/>
  <c r="A18" i="2"/>
  <c r="B17" i="2"/>
  <c r="A19" i="2"/>
  <c r="B18" i="2"/>
  <c r="B19" i="2"/>
  <c r="A20" i="2"/>
  <c r="A21" i="2"/>
  <c r="B20" i="2"/>
  <c r="B21" i="2"/>
  <c r="A22" i="2"/>
  <c r="A23" i="2"/>
  <c r="B22" i="2"/>
  <c r="B23" i="2"/>
  <c r="A24" i="2"/>
  <c r="B24" i="2"/>
  <c r="A25" i="2"/>
  <c r="B25" i="2"/>
  <c r="A26" i="2"/>
  <c r="A27" i="2"/>
  <c r="B26" i="2"/>
  <c r="B27" i="2"/>
  <c r="A28" i="2"/>
  <c r="A29" i="2"/>
  <c r="B28" i="2"/>
  <c r="B29" i="2"/>
  <c r="A30" i="2"/>
  <c r="B30" i="2"/>
  <c r="A31" i="2"/>
  <c r="B31" i="2"/>
  <c r="A32" i="2"/>
  <c r="A33" i="2"/>
  <c r="B32" i="2"/>
  <c r="A34" i="2"/>
  <c r="B33" i="2"/>
  <c r="A35" i="2"/>
  <c r="B34" i="2"/>
  <c r="A36" i="2"/>
  <c r="B35" i="2"/>
  <c r="B36" i="2"/>
  <c r="A37" i="2"/>
  <c r="B37" i="2"/>
  <c r="D39" i="2" l="1"/>
  <c r="F3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ユーザー</author>
    <author>早野　洋一</author>
    <author>松尾 雅俊</author>
  </authors>
  <commentList>
    <comment ref="K8" authorId="0" shapeId="0" xr:uid="{9311F938-E7C1-482B-8F82-8E5AD6331B3A}">
      <text>
        <r>
          <rPr>
            <sz val="9"/>
            <color indexed="81"/>
            <rFont val="ＭＳ Ｐゴシック"/>
            <family val="3"/>
            <charset val="128"/>
          </rPr>
          <t>・自転車の駐輪場料金、車のガソリン代　⇒　片道の距離を明記
　記入例：１か月分（片道3.5km）</t>
        </r>
      </text>
    </comment>
    <comment ref="A9" authorId="1" shapeId="0" xr:uid="{9C471B0F-71C3-48E2-B67E-208C558A4E68}">
      <text>
        <r>
          <rPr>
            <b/>
            <sz val="9"/>
            <color indexed="81"/>
            <rFont val="ＭＳ Ｐゴシック"/>
            <family val="3"/>
            <charset val="128"/>
          </rPr>
          <t>yy-mm-dd形式で入力してください。</t>
        </r>
      </text>
    </comment>
    <comment ref="J9" authorId="1" shapeId="0" xr:uid="{3A482342-6C6E-420D-8FBF-CB0734794975}">
      <text>
        <r>
          <rPr>
            <b/>
            <sz val="9"/>
            <color indexed="81"/>
            <rFont val="ＭＳ Ｐゴシック"/>
            <family val="3"/>
            <charset val="128"/>
          </rPr>
          <t>金額だけ入力してください。</t>
        </r>
      </text>
    </comment>
    <comment ref="A10" authorId="1" shapeId="0" xr:uid="{7F65D0C7-1851-4658-AAE3-D0C8D1995D14}">
      <text>
        <r>
          <rPr>
            <b/>
            <sz val="9"/>
            <color indexed="81"/>
            <rFont val="ＭＳ Ｐゴシック"/>
            <family val="3"/>
            <charset val="128"/>
          </rPr>
          <t>yy-mm-dd形式で入力してください。</t>
        </r>
      </text>
    </comment>
    <comment ref="J10" authorId="1" shapeId="0" xr:uid="{4090F0DE-1E34-477D-A522-35FE9089C361}">
      <text>
        <r>
          <rPr>
            <b/>
            <sz val="9"/>
            <color indexed="81"/>
            <rFont val="ＭＳ Ｐゴシック"/>
            <family val="3"/>
            <charset val="128"/>
          </rPr>
          <t>金額だけ入力してください。</t>
        </r>
      </text>
    </comment>
    <comment ref="A11" authorId="1" shapeId="0" xr:uid="{A0F20E1F-39C3-444E-9449-EC70E030D399}">
      <text>
        <r>
          <rPr>
            <b/>
            <sz val="9"/>
            <color indexed="81"/>
            <rFont val="ＭＳ Ｐゴシック"/>
            <family val="3"/>
            <charset val="128"/>
          </rPr>
          <t>yy-mm-dd形式で入力してください。</t>
        </r>
      </text>
    </comment>
    <comment ref="J11" authorId="1" shapeId="0" xr:uid="{8CFB1988-3CD3-4EA8-BD8A-427E2142632B}">
      <text>
        <r>
          <rPr>
            <b/>
            <sz val="9"/>
            <color indexed="81"/>
            <rFont val="ＭＳ Ｐゴシック"/>
            <family val="3"/>
            <charset val="128"/>
          </rPr>
          <t>金額だけ入力してください。</t>
        </r>
      </text>
    </comment>
    <comment ref="A12" authorId="1" shapeId="0" xr:uid="{2F3F164C-31C6-4048-8E40-481B0CAB4BAB}">
      <text>
        <r>
          <rPr>
            <b/>
            <sz val="9"/>
            <color indexed="81"/>
            <rFont val="ＭＳ Ｐゴシック"/>
            <family val="3"/>
            <charset val="128"/>
          </rPr>
          <t>yy-mm-dd形式で入力してください。</t>
        </r>
      </text>
    </comment>
    <comment ref="J12" authorId="1" shapeId="0" xr:uid="{5DF78171-5CF8-454C-B7B6-09F4806900FD}">
      <text>
        <r>
          <rPr>
            <b/>
            <sz val="9"/>
            <color indexed="81"/>
            <rFont val="ＭＳ Ｐゴシック"/>
            <family val="3"/>
            <charset val="128"/>
          </rPr>
          <t>金額だけ入力してください。</t>
        </r>
      </text>
    </comment>
    <comment ref="A13" authorId="1" shapeId="0" xr:uid="{E7D14397-4338-4A0E-91AD-26DC1223C0AD}">
      <text>
        <r>
          <rPr>
            <b/>
            <sz val="9"/>
            <color indexed="81"/>
            <rFont val="ＭＳ Ｐゴシック"/>
            <family val="3"/>
            <charset val="128"/>
          </rPr>
          <t>yy-mm-dd形式で入力してください。</t>
        </r>
      </text>
    </comment>
    <comment ref="J13" authorId="1" shapeId="0" xr:uid="{9EFFF80D-DB36-4A2E-9535-030C74DF1D88}">
      <text>
        <r>
          <rPr>
            <b/>
            <sz val="9"/>
            <color indexed="81"/>
            <rFont val="ＭＳ Ｐゴシック"/>
            <family val="3"/>
            <charset val="128"/>
          </rPr>
          <t>金額だけ入力してください。</t>
        </r>
      </text>
    </comment>
    <comment ref="A14" authorId="1" shapeId="0" xr:uid="{684A215F-D758-472D-A55A-3E40B9714852}">
      <text>
        <r>
          <rPr>
            <b/>
            <sz val="9"/>
            <color indexed="81"/>
            <rFont val="ＭＳ Ｐゴシック"/>
            <family val="3"/>
            <charset val="128"/>
          </rPr>
          <t>yy-mm-dd形式で入力してください。</t>
        </r>
      </text>
    </comment>
    <comment ref="J14" authorId="1" shapeId="0" xr:uid="{8A779340-7146-4952-A596-86AF332B9D47}">
      <text>
        <r>
          <rPr>
            <b/>
            <sz val="9"/>
            <color indexed="81"/>
            <rFont val="ＭＳ Ｐゴシック"/>
            <family val="3"/>
            <charset val="128"/>
          </rPr>
          <t>金額だけ入力してください。</t>
        </r>
      </text>
    </comment>
    <comment ref="A15" authorId="1" shapeId="0" xr:uid="{B828793E-584F-43B4-AB77-49844A1C5653}">
      <text>
        <r>
          <rPr>
            <b/>
            <sz val="9"/>
            <color indexed="81"/>
            <rFont val="ＭＳ Ｐゴシック"/>
            <family val="3"/>
            <charset val="128"/>
          </rPr>
          <t>yy-mm-dd形式で入力してください。</t>
        </r>
      </text>
    </comment>
    <comment ref="J15" authorId="1" shapeId="0" xr:uid="{E6708B26-0458-4D5F-93FC-B59B36ED4EC4}">
      <text>
        <r>
          <rPr>
            <b/>
            <sz val="9"/>
            <color indexed="81"/>
            <rFont val="ＭＳ Ｐゴシック"/>
            <family val="3"/>
            <charset val="128"/>
          </rPr>
          <t>金額だけ入力してください。</t>
        </r>
      </text>
    </comment>
    <comment ref="A16" authorId="1" shapeId="0" xr:uid="{998DBFA9-39A7-42F0-AB5A-D98CDA070A2C}">
      <text>
        <r>
          <rPr>
            <b/>
            <sz val="9"/>
            <color indexed="81"/>
            <rFont val="ＭＳ Ｐゴシック"/>
            <family val="3"/>
            <charset val="128"/>
          </rPr>
          <t>yy-mm-dd形式で入力してください。</t>
        </r>
      </text>
    </comment>
    <comment ref="J16" authorId="1" shapeId="0" xr:uid="{FBF00DE4-0C13-4406-856C-3CCE5CD80CB0}">
      <text>
        <r>
          <rPr>
            <b/>
            <sz val="9"/>
            <color indexed="81"/>
            <rFont val="ＭＳ Ｐゴシック"/>
            <family val="3"/>
            <charset val="128"/>
          </rPr>
          <t>金額だけ入力してください。</t>
        </r>
      </text>
    </comment>
    <comment ref="A17" authorId="1" shapeId="0" xr:uid="{D4A2915C-4EAB-4E9F-8017-89007C563652}">
      <text>
        <r>
          <rPr>
            <b/>
            <sz val="9"/>
            <color indexed="81"/>
            <rFont val="ＭＳ Ｐゴシック"/>
            <family val="3"/>
            <charset val="128"/>
          </rPr>
          <t>yy-mm-dd形式で入力してください。</t>
        </r>
      </text>
    </comment>
    <comment ref="J17" authorId="1" shapeId="0" xr:uid="{2828D543-2560-4394-9595-A90E95343282}">
      <text>
        <r>
          <rPr>
            <b/>
            <sz val="9"/>
            <color indexed="81"/>
            <rFont val="ＭＳ Ｐゴシック"/>
            <family val="3"/>
            <charset val="128"/>
          </rPr>
          <t>金額だけ入力してください。</t>
        </r>
      </text>
    </comment>
    <comment ref="A18" authorId="1" shapeId="0" xr:uid="{4F82A8ED-7D53-477F-A5BE-87D23C45EA25}">
      <text>
        <r>
          <rPr>
            <b/>
            <sz val="9"/>
            <color indexed="81"/>
            <rFont val="ＭＳ Ｐゴシック"/>
            <family val="3"/>
            <charset val="128"/>
          </rPr>
          <t>yy-mm-dd形式で入力してください。</t>
        </r>
      </text>
    </comment>
    <comment ref="J18" authorId="1" shapeId="0" xr:uid="{EAF28676-9305-426C-88AE-B6A4B78EA25E}">
      <text>
        <r>
          <rPr>
            <b/>
            <sz val="9"/>
            <color indexed="81"/>
            <rFont val="ＭＳ Ｐゴシック"/>
            <family val="3"/>
            <charset val="128"/>
          </rPr>
          <t>金額だけ入力してください。</t>
        </r>
      </text>
    </comment>
    <comment ref="A19" authorId="1" shapeId="0" xr:uid="{331F8AD9-F34B-43F7-A9DC-9B3F3A5D0C96}">
      <text>
        <r>
          <rPr>
            <b/>
            <sz val="9"/>
            <color indexed="81"/>
            <rFont val="ＭＳ Ｐゴシック"/>
            <family val="3"/>
            <charset val="128"/>
          </rPr>
          <t>yy-mm-dd形式で入力してください。</t>
        </r>
      </text>
    </comment>
    <comment ref="J19" authorId="1" shapeId="0" xr:uid="{C61F5261-3834-4700-8597-D4E195535915}">
      <text>
        <r>
          <rPr>
            <b/>
            <sz val="9"/>
            <color indexed="81"/>
            <rFont val="ＭＳ Ｐゴシック"/>
            <family val="3"/>
            <charset val="128"/>
          </rPr>
          <t>金額だけ入力してください。</t>
        </r>
      </text>
    </comment>
    <comment ref="A20" authorId="1" shapeId="0" xr:uid="{56F9A57C-43F1-40EF-967C-E9944FA0E75C}">
      <text>
        <r>
          <rPr>
            <b/>
            <sz val="9"/>
            <color indexed="81"/>
            <rFont val="ＭＳ Ｐゴシック"/>
            <family val="3"/>
            <charset val="128"/>
          </rPr>
          <t>yy-mm-dd形式で入力してください。</t>
        </r>
      </text>
    </comment>
    <comment ref="J20" authorId="1" shapeId="0" xr:uid="{EDBACAA5-A1D3-4E6A-9A4B-840CDCA692C5}">
      <text>
        <r>
          <rPr>
            <b/>
            <sz val="9"/>
            <color indexed="81"/>
            <rFont val="ＭＳ Ｐゴシック"/>
            <family val="3"/>
            <charset val="128"/>
          </rPr>
          <t>金額だけ入力してください。</t>
        </r>
      </text>
    </comment>
    <comment ref="A21" authorId="1" shapeId="0" xr:uid="{894C4739-AB7A-4532-83AB-0C28A962622C}">
      <text>
        <r>
          <rPr>
            <b/>
            <sz val="9"/>
            <color indexed="81"/>
            <rFont val="ＭＳ Ｐゴシック"/>
            <family val="3"/>
            <charset val="128"/>
          </rPr>
          <t>yy-mm-dd形式で入力してください。</t>
        </r>
      </text>
    </comment>
    <comment ref="J21" authorId="1" shapeId="0" xr:uid="{437A3DF1-AAD6-4E17-8BCF-7E7221901BAB}">
      <text>
        <r>
          <rPr>
            <b/>
            <sz val="9"/>
            <color indexed="81"/>
            <rFont val="ＭＳ Ｐゴシック"/>
            <family val="3"/>
            <charset val="128"/>
          </rPr>
          <t>金額だけ入力してください。</t>
        </r>
      </text>
    </comment>
    <comment ref="A22" authorId="1" shapeId="0" xr:uid="{FD0E1C6F-B241-4547-B6AB-236F2AF6611D}">
      <text>
        <r>
          <rPr>
            <b/>
            <sz val="9"/>
            <color indexed="81"/>
            <rFont val="ＭＳ Ｐゴシック"/>
            <family val="3"/>
            <charset val="128"/>
          </rPr>
          <t>yy-mm-dd形式で入力してください。</t>
        </r>
      </text>
    </comment>
    <comment ref="J22" authorId="1" shapeId="0" xr:uid="{41BC451E-0E00-4296-AFCB-35B14EEE460E}">
      <text>
        <r>
          <rPr>
            <b/>
            <sz val="9"/>
            <color indexed="81"/>
            <rFont val="ＭＳ Ｐゴシック"/>
            <family val="3"/>
            <charset val="128"/>
          </rPr>
          <t>金額だけ入力してください。</t>
        </r>
      </text>
    </comment>
    <comment ref="A23" authorId="1" shapeId="0" xr:uid="{BE6940D2-AB50-4276-A5D6-896E6E983752}">
      <text>
        <r>
          <rPr>
            <b/>
            <sz val="9"/>
            <color indexed="81"/>
            <rFont val="ＭＳ Ｐゴシック"/>
            <family val="3"/>
            <charset val="128"/>
          </rPr>
          <t>yy-mm-dd形式で入力してください。</t>
        </r>
      </text>
    </comment>
    <comment ref="J23" authorId="1" shapeId="0" xr:uid="{812E18B2-E913-46B7-8B8E-74023464DE2A}">
      <text>
        <r>
          <rPr>
            <b/>
            <sz val="9"/>
            <color indexed="81"/>
            <rFont val="ＭＳ Ｐゴシック"/>
            <family val="3"/>
            <charset val="128"/>
          </rPr>
          <t>金額だけ入力してください。</t>
        </r>
      </text>
    </comment>
    <comment ref="A24" authorId="1" shapeId="0" xr:uid="{28127ED6-360D-4D7E-99DB-417403220E32}">
      <text>
        <r>
          <rPr>
            <b/>
            <sz val="9"/>
            <color indexed="81"/>
            <rFont val="ＭＳ Ｐゴシック"/>
            <family val="3"/>
            <charset val="128"/>
          </rPr>
          <t>yy-mm-dd形式で入力してください。</t>
        </r>
      </text>
    </comment>
    <comment ref="J24" authorId="1" shapeId="0" xr:uid="{8CEF212B-5F46-4AFC-8912-6E620CD664F4}">
      <text>
        <r>
          <rPr>
            <b/>
            <sz val="9"/>
            <color indexed="81"/>
            <rFont val="ＭＳ Ｐゴシック"/>
            <family val="3"/>
            <charset val="128"/>
          </rPr>
          <t>金額だけ入力してください。</t>
        </r>
      </text>
    </comment>
    <comment ref="A25" authorId="1" shapeId="0" xr:uid="{7FB4D0E3-0ACB-4895-AFE2-3B05CDEDFAF1}">
      <text>
        <r>
          <rPr>
            <b/>
            <sz val="9"/>
            <color indexed="81"/>
            <rFont val="ＭＳ Ｐゴシック"/>
            <family val="3"/>
            <charset val="128"/>
          </rPr>
          <t>yy-mm-dd形式で入力してください。</t>
        </r>
      </text>
    </comment>
    <comment ref="J25" authorId="1" shapeId="0" xr:uid="{9B4A0BFE-4FBB-4442-AA2D-0FF1F394EFF5}">
      <text>
        <r>
          <rPr>
            <b/>
            <sz val="9"/>
            <color indexed="81"/>
            <rFont val="ＭＳ Ｐゴシック"/>
            <family val="3"/>
            <charset val="128"/>
          </rPr>
          <t>金額だけ入力してください。</t>
        </r>
      </text>
    </comment>
    <comment ref="A26" authorId="1" shapeId="0" xr:uid="{BD8E06BB-B4FB-4D85-9EA4-EE979356C61E}">
      <text>
        <r>
          <rPr>
            <b/>
            <sz val="9"/>
            <color indexed="81"/>
            <rFont val="ＭＳ Ｐゴシック"/>
            <family val="3"/>
            <charset val="128"/>
          </rPr>
          <t>yy-mm-dd形式で入力してください。</t>
        </r>
      </text>
    </comment>
    <comment ref="J26" authorId="1" shapeId="0" xr:uid="{C328DAF3-50FD-40FC-9BBE-7434D11FDDAB}">
      <text>
        <r>
          <rPr>
            <b/>
            <sz val="9"/>
            <color indexed="81"/>
            <rFont val="ＭＳ Ｐゴシック"/>
            <family val="3"/>
            <charset val="128"/>
          </rPr>
          <t>金額だけ入力してください。</t>
        </r>
      </text>
    </comment>
    <comment ref="A27" authorId="1" shapeId="0" xr:uid="{D2ED53D6-5A55-460D-B640-66C65DF7531D}">
      <text>
        <r>
          <rPr>
            <b/>
            <sz val="9"/>
            <color indexed="81"/>
            <rFont val="ＭＳ Ｐゴシック"/>
            <family val="3"/>
            <charset val="128"/>
          </rPr>
          <t>yy-mm-dd形式で入力してください。</t>
        </r>
      </text>
    </comment>
    <comment ref="J27" authorId="1" shapeId="0" xr:uid="{4060E5BD-539B-49A5-BEFF-20081C7757BB}">
      <text>
        <r>
          <rPr>
            <b/>
            <sz val="9"/>
            <color indexed="81"/>
            <rFont val="ＭＳ Ｐゴシック"/>
            <family val="3"/>
            <charset val="128"/>
          </rPr>
          <t>金額だけ入力してください。</t>
        </r>
      </text>
    </comment>
    <comment ref="A28" authorId="1" shapeId="0" xr:uid="{1466D51E-1AE4-45E1-B7EC-74BE190D251C}">
      <text>
        <r>
          <rPr>
            <b/>
            <sz val="9"/>
            <color indexed="81"/>
            <rFont val="ＭＳ Ｐゴシック"/>
            <family val="3"/>
            <charset val="128"/>
          </rPr>
          <t>yy-mm-dd形式で入力してください。</t>
        </r>
      </text>
    </comment>
    <comment ref="J28" authorId="1" shapeId="0" xr:uid="{61D24111-2C2E-42D8-9CB7-7C0538C49E89}">
      <text>
        <r>
          <rPr>
            <b/>
            <sz val="9"/>
            <color indexed="81"/>
            <rFont val="ＭＳ Ｐゴシック"/>
            <family val="3"/>
            <charset val="128"/>
          </rPr>
          <t>金額だけ入力してください。</t>
        </r>
      </text>
    </comment>
    <comment ref="A29" authorId="1" shapeId="0" xr:uid="{9701A634-77D9-4097-AA2E-DBC7D3249B55}">
      <text>
        <r>
          <rPr>
            <b/>
            <sz val="9"/>
            <color indexed="81"/>
            <rFont val="ＭＳ Ｐゴシック"/>
            <family val="3"/>
            <charset val="128"/>
          </rPr>
          <t>yy-mm-dd形式で入力してください。</t>
        </r>
      </text>
    </comment>
    <comment ref="J29" authorId="1" shapeId="0" xr:uid="{E47A6C2C-6AE1-4E95-BAF0-5C1F38DD0D13}">
      <text>
        <r>
          <rPr>
            <b/>
            <sz val="9"/>
            <color indexed="81"/>
            <rFont val="ＭＳ Ｐゴシック"/>
            <family val="3"/>
            <charset val="128"/>
          </rPr>
          <t>金額だけ入力してください。</t>
        </r>
      </text>
    </comment>
    <comment ref="A30" authorId="1" shapeId="0" xr:uid="{043F165E-D6BD-46C4-9518-64B50BB45598}">
      <text>
        <r>
          <rPr>
            <b/>
            <sz val="9"/>
            <color indexed="81"/>
            <rFont val="ＭＳ Ｐゴシック"/>
            <family val="3"/>
            <charset val="128"/>
          </rPr>
          <t>yy-mm-dd形式で入力してください。</t>
        </r>
      </text>
    </comment>
    <comment ref="J30" authorId="1" shapeId="0" xr:uid="{4011D518-F16F-43E3-A571-05CEB4C3CD02}">
      <text>
        <r>
          <rPr>
            <b/>
            <sz val="9"/>
            <color indexed="81"/>
            <rFont val="ＭＳ Ｐゴシック"/>
            <family val="3"/>
            <charset val="128"/>
          </rPr>
          <t>金額だけ入力してください。</t>
        </r>
      </text>
    </comment>
    <comment ref="A31" authorId="1" shapeId="0" xr:uid="{8695B74C-1CA8-492E-8B82-24AD86676AA7}">
      <text>
        <r>
          <rPr>
            <b/>
            <sz val="9"/>
            <color indexed="81"/>
            <rFont val="ＭＳ Ｐゴシック"/>
            <family val="3"/>
            <charset val="128"/>
          </rPr>
          <t>yy-mm-dd形式で入力してください。</t>
        </r>
      </text>
    </comment>
    <comment ref="J31" authorId="1" shapeId="0" xr:uid="{BE4C5441-2A94-4162-8DFD-4279E80C37F6}">
      <text>
        <r>
          <rPr>
            <b/>
            <sz val="9"/>
            <color indexed="81"/>
            <rFont val="ＭＳ Ｐゴシック"/>
            <family val="3"/>
            <charset val="128"/>
          </rPr>
          <t>金額だけ入力してください。</t>
        </r>
      </text>
    </comment>
    <comment ref="A32" authorId="1" shapeId="0" xr:uid="{F16AA4F3-7EA6-4BEB-88C6-060719A1D18E}">
      <text>
        <r>
          <rPr>
            <b/>
            <sz val="9"/>
            <color indexed="81"/>
            <rFont val="ＭＳ Ｐゴシック"/>
            <family val="3"/>
            <charset val="128"/>
          </rPr>
          <t>yy-mm-dd形式で入力してください。</t>
        </r>
      </text>
    </comment>
    <comment ref="J32" authorId="1" shapeId="0" xr:uid="{CE33A0ED-4ECD-4D1B-9BAD-89096E921C27}">
      <text>
        <r>
          <rPr>
            <b/>
            <sz val="9"/>
            <color indexed="81"/>
            <rFont val="ＭＳ Ｐゴシック"/>
            <family val="3"/>
            <charset val="128"/>
          </rPr>
          <t>金額だけ入力してください。</t>
        </r>
      </text>
    </comment>
    <comment ref="A33" authorId="1" shapeId="0" xr:uid="{02948F80-5FD8-4E76-BD36-C4914ED884B5}">
      <text>
        <r>
          <rPr>
            <b/>
            <sz val="9"/>
            <color indexed="81"/>
            <rFont val="ＭＳ Ｐゴシック"/>
            <family val="3"/>
            <charset val="128"/>
          </rPr>
          <t>yy-mm-dd形式で入力してください。</t>
        </r>
      </text>
    </comment>
    <comment ref="J33" authorId="1" shapeId="0" xr:uid="{0AD7E4B1-5B1D-4050-9AF6-8A63DEC0FB2E}">
      <text>
        <r>
          <rPr>
            <b/>
            <sz val="9"/>
            <color indexed="81"/>
            <rFont val="ＭＳ Ｐゴシック"/>
            <family val="3"/>
            <charset val="128"/>
          </rPr>
          <t>金額だけ入力してください。</t>
        </r>
      </text>
    </comment>
    <comment ref="A34" authorId="1" shapeId="0" xr:uid="{C301D3DA-9657-4434-8B38-C9D533A5C7FF}">
      <text>
        <r>
          <rPr>
            <b/>
            <sz val="9"/>
            <color indexed="81"/>
            <rFont val="ＭＳ Ｐゴシック"/>
            <family val="3"/>
            <charset val="128"/>
          </rPr>
          <t>yy-mm-dd形式で入力してください。</t>
        </r>
      </text>
    </comment>
    <comment ref="J34" authorId="1" shapeId="0" xr:uid="{6B68BF6A-7197-46DB-99A3-C261FC4CA2E7}">
      <text>
        <r>
          <rPr>
            <b/>
            <sz val="9"/>
            <color indexed="81"/>
            <rFont val="ＭＳ Ｐゴシック"/>
            <family val="3"/>
            <charset val="128"/>
          </rPr>
          <t>金額だけ入力してください。</t>
        </r>
      </text>
    </comment>
    <comment ref="A35" authorId="1" shapeId="0" xr:uid="{F5F07E0A-2CC1-4ECB-A2DE-4551608A6704}">
      <text>
        <r>
          <rPr>
            <b/>
            <sz val="9"/>
            <color indexed="81"/>
            <rFont val="ＭＳ Ｐゴシック"/>
            <family val="3"/>
            <charset val="128"/>
          </rPr>
          <t>yy-mm-dd形式で入力してください。</t>
        </r>
      </text>
    </comment>
    <comment ref="J35" authorId="1" shapeId="0" xr:uid="{78209E92-87F9-46FF-B1E0-A2EFB653B103}">
      <text>
        <r>
          <rPr>
            <b/>
            <sz val="9"/>
            <color indexed="81"/>
            <rFont val="ＭＳ Ｐゴシック"/>
            <family val="3"/>
            <charset val="128"/>
          </rPr>
          <t>金額だけ入力してください。</t>
        </r>
      </text>
    </comment>
    <comment ref="A36" authorId="1" shapeId="0" xr:uid="{D76C1FCE-85A8-4B1A-812E-2FD4F771E2C1}">
      <text>
        <r>
          <rPr>
            <b/>
            <sz val="9"/>
            <color indexed="81"/>
            <rFont val="ＭＳ Ｐゴシック"/>
            <family val="3"/>
            <charset val="128"/>
          </rPr>
          <t>yy-mm-dd形式で入力してください。</t>
        </r>
      </text>
    </comment>
    <comment ref="J36" authorId="1" shapeId="0" xr:uid="{4EA45E81-5FAD-40EC-8B39-7AFF830C1A01}">
      <text>
        <r>
          <rPr>
            <b/>
            <sz val="9"/>
            <color indexed="81"/>
            <rFont val="ＭＳ Ｐゴシック"/>
            <family val="3"/>
            <charset val="128"/>
          </rPr>
          <t>金額だけ入力してください。</t>
        </r>
      </text>
    </comment>
    <comment ref="A37" authorId="1" shapeId="0" xr:uid="{881BB195-0C9E-4B6F-9EBD-A473E09D5A50}">
      <text>
        <r>
          <rPr>
            <b/>
            <sz val="9"/>
            <color indexed="81"/>
            <rFont val="ＭＳ Ｐゴシック"/>
            <family val="3"/>
            <charset val="128"/>
          </rPr>
          <t>yy-mm-dd形式で入力してください。</t>
        </r>
      </text>
    </comment>
    <comment ref="J37" authorId="1" shapeId="0" xr:uid="{7CFC958D-B2B7-48F0-B060-11839BF1FB15}">
      <text>
        <r>
          <rPr>
            <b/>
            <sz val="9"/>
            <color indexed="81"/>
            <rFont val="ＭＳ Ｐゴシック"/>
            <family val="3"/>
            <charset val="128"/>
          </rPr>
          <t>金額だけ入力してください。</t>
        </r>
      </text>
    </comment>
    <comment ref="A38" authorId="1" shapeId="0" xr:uid="{372E84CE-6FD6-4A42-8BCC-767A3A322973}">
      <text>
        <r>
          <rPr>
            <b/>
            <sz val="9"/>
            <color indexed="81"/>
            <rFont val="ＭＳ Ｐゴシック"/>
            <family val="3"/>
            <charset val="128"/>
          </rPr>
          <t>yy-mm-dd形式で入力してください。</t>
        </r>
      </text>
    </comment>
    <comment ref="J38" authorId="1" shapeId="0" xr:uid="{AB3432F7-7F3A-4EF9-8DAF-D0246535DE88}">
      <text>
        <r>
          <rPr>
            <b/>
            <sz val="9"/>
            <color indexed="81"/>
            <rFont val="ＭＳ Ｐゴシック"/>
            <family val="3"/>
            <charset val="128"/>
          </rPr>
          <t>金額だけ入力してください。</t>
        </r>
      </text>
    </comment>
    <comment ref="A39" authorId="1" shapeId="0" xr:uid="{F43559A0-9F81-4B45-B4BA-B3EC9B86C642}">
      <text>
        <r>
          <rPr>
            <b/>
            <sz val="9"/>
            <color indexed="81"/>
            <rFont val="ＭＳ Ｐゴシック"/>
            <family val="3"/>
            <charset val="128"/>
          </rPr>
          <t>yy-mm-dd形式で入力してください。</t>
        </r>
      </text>
    </comment>
    <comment ref="J39" authorId="1" shapeId="0" xr:uid="{DFBE1659-0C4B-4071-985A-5433B2604DCB}">
      <text>
        <r>
          <rPr>
            <b/>
            <sz val="9"/>
            <color indexed="81"/>
            <rFont val="ＭＳ Ｐゴシック"/>
            <family val="3"/>
            <charset val="128"/>
          </rPr>
          <t>金額だけ入力してください。</t>
        </r>
      </text>
    </comment>
    <comment ref="A40" authorId="1" shapeId="0" xr:uid="{7F89A750-0826-43A2-81D9-ECDEFBE91190}">
      <text>
        <r>
          <rPr>
            <b/>
            <sz val="9"/>
            <color indexed="81"/>
            <rFont val="ＭＳ Ｐゴシック"/>
            <family val="3"/>
            <charset val="128"/>
          </rPr>
          <t>yy-mm-dd形式で入力してください。</t>
        </r>
      </text>
    </comment>
    <comment ref="J40" authorId="1" shapeId="0" xr:uid="{D2605B42-D560-434B-A101-7412DF7A41CB}">
      <text>
        <r>
          <rPr>
            <b/>
            <sz val="9"/>
            <color indexed="81"/>
            <rFont val="ＭＳ Ｐゴシック"/>
            <family val="3"/>
            <charset val="128"/>
          </rPr>
          <t>金額だけ入力してください。</t>
        </r>
      </text>
    </comment>
    <comment ref="A42" authorId="2" shapeId="0" xr:uid="{B2CFBE9C-F04F-4231-A834-E1ECEBB74BC2}">
      <text>
        <r>
          <rPr>
            <sz val="9"/>
            <color indexed="81"/>
            <rFont val="ＭＳ Ｐゴシック"/>
            <family val="3"/>
            <charset val="128"/>
          </rPr>
          <t xml:space="preserve">経費に該当するケース
・面談の為の移動
・終電が無くなって、タクシーで帰宅（管理者承認が必要）
</t>
        </r>
      </text>
    </comment>
    <comment ref="A44" authorId="1" shapeId="0" xr:uid="{177FB16F-CF82-4FDA-AF26-D94263AC63D5}">
      <text>
        <r>
          <rPr>
            <b/>
            <sz val="9"/>
            <color indexed="81"/>
            <rFont val="ＭＳ Ｐゴシック"/>
            <family val="3"/>
            <charset val="128"/>
          </rPr>
          <t>yy-mm-dd形式で入力してください。</t>
        </r>
      </text>
    </comment>
    <comment ref="J44" authorId="1" shapeId="0" xr:uid="{6A701D36-1379-47E5-B582-F22D49C0E8CA}">
      <text>
        <r>
          <rPr>
            <b/>
            <sz val="9"/>
            <color indexed="81"/>
            <rFont val="ＭＳ Ｐゴシック"/>
            <family val="3"/>
            <charset val="128"/>
          </rPr>
          <t>金額だけ入力してください。</t>
        </r>
      </text>
    </comment>
    <comment ref="A45" authorId="1" shapeId="0" xr:uid="{3241E160-ED2A-4D11-8375-7B6156160E5E}">
      <text>
        <r>
          <rPr>
            <b/>
            <sz val="9"/>
            <color indexed="81"/>
            <rFont val="ＭＳ Ｐゴシック"/>
            <family val="3"/>
            <charset val="128"/>
          </rPr>
          <t>yy-mm-dd形式で入力してください。</t>
        </r>
      </text>
    </comment>
    <comment ref="J45" authorId="1" shapeId="0" xr:uid="{2B5A5F7A-9342-40A9-8E58-926148F5B250}">
      <text>
        <r>
          <rPr>
            <b/>
            <sz val="9"/>
            <color indexed="81"/>
            <rFont val="ＭＳ Ｐゴシック"/>
            <family val="3"/>
            <charset val="128"/>
          </rPr>
          <t>金額だけ入力してください。</t>
        </r>
      </text>
    </comment>
    <comment ref="A46" authorId="1" shapeId="0" xr:uid="{42C9F152-4D56-4D11-9EF4-E1BBE85C6C24}">
      <text>
        <r>
          <rPr>
            <b/>
            <sz val="9"/>
            <color indexed="81"/>
            <rFont val="ＭＳ Ｐゴシック"/>
            <family val="3"/>
            <charset val="128"/>
          </rPr>
          <t>yy-mm-dd形式で入力してください。</t>
        </r>
      </text>
    </comment>
    <comment ref="J46" authorId="1" shapeId="0" xr:uid="{D13E23F0-E256-424B-84FA-28AE6E5F439B}">
      <text>
        <r>
          <rPr>
            <b/>
            <sz val="9"/>
            <color indexed="81"/>
            <rFont val="ＭＳ Ｐゴシック"/>
            <family val="3"/>
            <charset val="128"/>
          </rPr>
          <t>金額だけ入力してください。</t>
        </r>
      </text>
    </comment>
    <comment ref="A47" authorId="1" shapeId="0" xr:uid="{E02FE7E5-6DA1-4692-8E97-5648AADF8661}">
      <text>
        <r>
          <rPr>
            <b/>
            <sz val="9"/>
            <color indexed="81"/>
            <rFont val="ＭＳ Ｐゴシック"/>
            <family val="3"/>
            <charset val="128"/>
          </rPr>
          <t>yy-mm-dd形式で入力してください。</t>
        </r>
      </text>
    </comment>
    <comment ref="J47" authorId="1" shapeId="0" xr:uid="{94EAD386-4532-4507-9DFF-8B4128AFED69}">
      <text>
        <r>
          <rPr>
            <b/>
            <sz val="9"/>
            <color indexed="81"/>
            <rFont val="ＭＳ Ｐゴシック"/>
            <family val="3"/>
            <charset val="128"/>
          </rPr>
          <t>金額だけ入力してください。</t>
        </r>
      </text>
    </comment>
    <comment ref="A48" authorId="1" shapeId="0" xr:uid="{C05EC885-C218-4D6C-AF2D-22D829210B26}">
      <text>
        <r>
          <rPr>
            <b/>
            <sz val="9"/>
            <color indexed="81"/>
            <rFont val="ＭＳ Ｐゴシック"/>
            <family val="3"/>
            <charset val="128"/>
          </rPr>
          <t>yy-mm-dd形式で入力してください。</t>
        </r>
      </text>
    </comment>
    <comment ref="J48" authorId="1" shapeId="0" xr:uid="{0FD27623-D536-485F-BB73-EF18C558A798}">
      <text>
        <r>
          <rPr>
            <b/>
            <sz val="9"/>
            <color indexed="81"/>
            <rFont val="ＭＳ Ｐゴシック"/>
            <family val="3"/>
            <charset val="128"/>
          </rPr>
          <t>金額だけ入力してください。</t>
        </r>
      </text>
    </comment>
    <comment ref="A49" authorId="1" shapeId="0" xr:uid="{3D5D237D-206A-4F2F-BEE8-DE831FABCDAC}">
      <text>
        <r>
          <rPr>
            <b/>
            <sz val="9"/>
            <color indexed="81"/>
            <rFont val="ＭＳ Ｐゴシック"/>
            <family val="3"/>
            <charset val="128"/>
          </rPr>
          <t>yy-mm-dd形式で入力してください。</t>
        </r>
      </text>
    </comment>
    <comment ref="J49" authorId="1" shapeId="0" xr:uid="{B7FB6A43-9C6A-4B96-BD11-24C75C9512A0}">
      <text>
        <r>
          <rPr>
            <b/>
            <sz val="9"/>
            <color indexed="81"/>
            <rFont val="ＭＳ Ｐゴシック"/>
            <family val="3"/>
            <charset val="128"/>
          </rPr>
          <t>金額だけ入力してください。</t>
        </r>
      </text>
    </comment>
    <comment ref="A50" authorId="1" shapeId="0" xr:uid="{8C6FA551-25F1-48C6-8AD7-EF0D491F29CD}">
      <text>
        <r>
          <rPr>
            <b/>
            <sz val="9"/>
            <color indexed="81"/>
            <rFont val="ＭＳ Ｐゴシック"/>
            <family val="3"/>
            <charset val="128"/>
          </rPr>
          <t>yy-mm-dd形式で入力してください。</t>
        </r>
      </text>
    </comment>
    <comment ref="J50" authorId="1" shapeId="0" xr:uid="{CD1798E2-D846-4389-A4AD-D70AB9E039F1}">
      <text>
        <r>
          <rPr>
            <b/>
            <sz val="9"/>
            <color indexed="81"/>
            <rFont val="ＭＳ Ｐゴシック"/>
            <family val="3"/>
            <charset val="128"/>
          </rPr>
          <t>金額だけ入力してください。</t>
        </r>
      </text>
    </comment>
    <comment ref="A51" authorId="1" shapeId="0" xr:uid="{9AEEFD2B-23D8-4523-A479-909F6CD90A06}">
      <text>
        <r>
          <rPr>
            <b/>
            <sz val="9"/>
            <color indexed="81"/>
            <rFont val="ＭＳ Ｐゴシック"/>
            <family val="3"/>
            <charset val="128"/>
          </rPr>
          <t>yy-mm-dd形式で入力してください。</t>
        </r>
      </text>
    </comment>
    <comment ref="J51" authorId="1" shapeId="0" xr:uid="{345D7FD5-22C0-46B0-8F99-129320BFD04E}">
      <text>
        <r>
          <rPr>
            <b/>
            <sz val="9"/>
            <color indexed="81"/>
            <rFont val="ＭＳ Ｐゴシック"/>
            <family val="3"/>
            <charset val="128"/>
          </rPr>
          <t>金額だけ入力してください。</t>
        </r>
      </text>
    </comment>
    <comment ref="A52" authorId="1" shapeId="0" xr:uid="{7BBA9428-6093-4CD5-8B61-5F425C01C5C7}">
      <text>
        <r>
          <rPr>
            <b/>
            <sz val="9"/>
            <color indexed="81"/>
            <rFont val="ＭＳ Ｐゴシック"/>
            <family val="3"/>
            <charset val="128"/>
          </rPr>
          <t>yy-mm-dd形式で入力してください。</t>
        </r>
      </text>
    </comment>
    <comment ref="J52" authorId="1" shapeId="0" xr:uid="{7D3DED48-4F2F-4015-B716-81F1E8A7B327}">
      <text>
        <r>
          <rPr>
            <b/>
            <sz val="9"/>
            <color indexed="81"/>
            <rFont val="ＭＳ Ｐゴシック"/>
            <family val="3"/>
            <charset val="128"/>
          </rPr>
          <t>金額だけ入力してください。</t>
        </r>
      </text>
    </comment>
    <comment ref="A53" authorId="1" shapeId="0" xr:uid="{F77590E8-6FA0-490C-9189-A13FD279D365}">
      <text>
        <r>
          <rPr>
            <b/>
            <sz val="9"/>
            <color indexed="81"/>
            <rFont val="ＭＳ Ｐゴシック"/>
            <family val="3"/>
            <charset val="128"/>
          </rPr>
          <t>yy-mm-dd形式で入力してください。</t>
        </r>
      </text>
    </comment>
    <comment ref="J53" authorId="1" shapeId="0" xr:uid="{4D83EC6D-57C7-4F73-BF9E-402D7042AE88}">
      <text>
        <r>
          <rPr>
            <b/>
            <sz val="9"/>
            <color indexed="81"/>
            <rFont val="ＭＳ Ｐゴシック"/>
            <family val="3"/>
            <charset val="128"/>
          </rPr>
          <t>金額だけ入力してください。</t>
        </r>
      </text>
    </comment>
    <comment ref="A54" authorId="1" shapeId="0" xr:uid="{5F0FAEC0-E8D3-48D2-9BD9-3084368949BE}">
      <text>
        <r>
          <rPr>
            <b/>
            <sz val="9"/>
            <color indexed="81"/>
            <rFont val="ＭＳ Ｐゴシック"/>
            <family val="3"/>
            <charset val="128"/>
          </rPr>
          <t>yy-mm-dd形式で入力してください。</t>
        </r>
      </text>
    </comment>
    <comment ref="J54" authorId="1" shapeId="0" xr:uid="{E31F192D-3FA4-4AB5-90AA-121A66BC15A7}">
      <text>
        <r>
          <rPr>
            <b/>
            <sz val="9"/>
            <color indexed="81"/>
            <rFont val="ＭＳ Ｐゴシック"/>
            <family val="3"/>
            <charset val="128"/>
          </rPr>
          <t>金額だけ入力してください。</t>
        </r>
      </text>
    </comment>
    <comment ref="A55" authorId="1" shapeId="0" xr:uid="{9E021F3A-A358-4234-BDD8-AB0ACC8A8891}">
      <text>
        <r>
          <rPr>
            <b/>
            <sz val="9"/>
            <color indexed="81"/>
            <rFont val="ＭＳ Ｐゴシック"/>
            <family val="3"/>
            <charset val="128"/>
          </rPr>
          <t>yy-mm-dd形式で入力してください。</t>
        </r>
      </text>
    </comment>
    <comment ref="J55" authorId="1" shapeId="0" xr:uid="{ED7EF939-E95D-4D04-B4A5-B520EB4919AC}">
      <text>
        <r>
          <rPr>
            <b/>
            <sz val="9"/>
            <color indexed="81"/>
            <rFont val="ＭＳ Ｐゴシック"/>
            <family val="3"/>
            <charset val="128"/>
          </rPr>
          <t>金額だけ入力してください。</t>
        </r>
      </text>
    </comment>
    <comment ref="A56" authorId="1" shapeId="0" xr:uid="{4779BB1B-25F3-455E-9407-FE98E4F3EAD1}">
      <text>
        <r>
          <rPr>
            <b/>
            <sz val="9"/>
            <color indexed="81"/>
            <rFont val="ＭＳ Ｐゴシック"/>
            <family val="3"/>
            <charset val="128"/>
          </rPr>
          <t>yy-mm-dd形式で入力してください。</t>
        </r>
      </text>
    </comment>
    <comment ref="J56" authorId="1" shapeId="0" xr:uid="{E2190CA6-9E0D-4A7B-A869-F7A7E5306AB4}">
      <text>
        <r>
          <rPr>
            <b/>
            <sz val="9"/>
            <color indexed="81"/>
            <rFont val="ＭＳ Ｐゴシック"/>
            <family val="3"/>
            <charset val="128"/>
          </rPr>
          <t>金額だけ入力してください。</t>
        </r>
      </text>
    </comment>
    <comment ref="A57" authorId="1" shapeId="0" xr:uid="{A7DA2533-CB1A-435D-A19D-5A7DC677A4F7}">
      <text>
        <r>
          <rPr>
            <b/>
            <sz val="9"/>
            <color indexed="81"/>
            <rFont val="ＭＳ Ｐゴシック"/>
            <family val="3"/>
            <charset val="128"/>
          </rPr>
          <t>yy-mm-dd形式で入力してください。</t>
        </r>
      </text>
    </comment>
    <comment ref="J57" authorId="1" shapeId="0" xr:uid="{777B82D3-86D6-40F5-9824-B9FE1834265F}">
      <text>
        <r>
          <rPr>
            <b/>
            <sz val="9"/>
            <color indexed="81"/>
            <rFont val="ＭＳ Ｐゴシック"/>
            <family val="3"/>
            <charset val="128"/>
          </rPr>
          <t>金額だけ入力してください。</t>
        </r>
      </text>
    </comment>
    <comment ref="A58" authorId="1" shapeId="0" xr:uid="{3EA7E2E2-9D69-4227-94F7-1C03C6F72B52}">
      <text>
        <r>
          <rPr>
            <b/>
            <sz val="9"/>
            <color indexed="81"/>
            <rFont val="ＭＳ Ｐゴシック"/>
            <family val="3"/>
            <charset val="128"/>
          </rPr>
          <t>yy-mm-dd形式で入力してください。</t>
        </r>
      </text>
    </comment>
    <comment ref="J58" authorId="1" shapeId="0" xr:uid="{861CD3BB-0024-43BA-BEDB-7CE0BC5808FC}">
      <text>
        <r>
          <rPr>
            <b/>
            <sz val="9"/>
            <color indexed="81"/>
            <rFont val="ＭＳ Ｐゴシック"/>
            <family val="3"/>
            <charset val="128"/>
          </rPr>
          <t>金額だけ入力してください。</t>
        </r>
      </text>
    </comment>
    <comment ref="A59" authorId="1" shapeId="0" xr:uid="{8C74612C-2D1A-4F22-8FFF-562EE7B8F20C}">
      <text>
        <r>
          <rPr>
            <b/>
            <sz val="9"/>
            <color indexed="81"/>
            <rFont val="ＭＳ Ｐゴシック"/>
            <family val="3"/>
            <charset val="128"/>
          </rPr>
          <t>yy-mm-dd形式で入力してください。</t>
        </r>
      </text>
    </comment>
    <comment ref="J59" authorId="1" shapeId="0" xr:uid="{86C657A1-1953-439B-B512-1026F1F6B5C0}">
      <text>
        <r>
          <rPr>
            <b/>
            <sz val="9"/>
            <color indexed="81"/>
            <rFont val="ＭＳ Ｐゴシック"/>
            <family val="3"/>
            <charset val="128"/>
          </rPr>
          <t>金額だけ入力してください。</t>
        </r>
      </text>
    </comment>
    <comment ref="A60" authorId="1" shapeId="0" xr:uid="{5AE96D0E-8388-4EF9-AE46-BD29D89BB3AC}">
      <text>
        <r>
          <rPr>
            <b/>
            <sz val="9"/>
            <color indexed="81"/>
            <rFont val="ＭＳ Ｐゴシック"/>
            <family val="3"/>
            <charset val="128"/>
          </rPr>
          <t>yy-mm-dd形式で入力してください。</t>
        </r>
      </text>
    </comment>
    <comment ref="J60" authorId="1" shapeId="0" xr:uid="{E77C5AB8-1FA8-4AD1-AE81-1519935D32EB}">
      <text>
        <r>
          <rPr>
            <b/>
            <sz val="9"/>
            <color indexed="81"/>
            <rFont val="ＭＳ Ｐゴシック"/>
            <family val="3"/>
            <charset val="128"/>
          </rPr>
          <t>金額だけ入力してください。</t>
        </r>
      </text>
    </comment>
    <comment ref="A61" authorId="1" shapeId="0" xr:uid="{0564AB7D-0B49-414F-A274-6D4344B6DBAC}">
      <text>
        <r>
          <rPr>
            <b/>
            <sz val="9"/>
            <color indexed="81"/>
            <rFont val="ＭＳ Ｐゴシック"/>
            <family val="3"/>
            <charset val="128"/>
          </rPr>
          <t>yy-mm-dd形式で入力してください。</t>
        </r>
      </text>
    </comment>
    <comment ref="J61" authorId="1" shapeId="0" xr:uid="{85403059-77A2-4292-BA51-90CC6C187765}">
      <text>
        <r>
          <rPr>
            <b/>
            <sz val="9"/>
            <color indexed="81"/>
            <rFont val="ＭＳ Ｐゴシック"/>
            <family val="3"/>
            <charset val="128"/>
          </rPr>
          <t>金額だけ入力してください。</t>
        </r>
      </text>
    </comment>
    <comment ref="A62" authorId="1" shapeId="0" xr:uid="{8185CEA1-B36A-4E1B-B769-36182FC2222A}">
      <text>
        <r>
          <rPr>
            <b/>
            <sz val="9"/>
            <color indexed="81"/>
            <rFont val="ＭＳ Ｐゴシック"/>
            <family val="3"/>
            <charset val="128"/>
          </rPr>
          <t>yy-mm-dd形式で入力してください。</t>
        </r>
      </text>
    </comment>
    <comment ref="J62" authorId="1" shapeId="0" xr:uid="{F7EB81EB-A155-4433-813E-5EF70300D6B0}">
      <text>
        <r>
          <rPr>
            <b/>
            <sz val="9"/>
            <color indexed="81"/>
            <rFont val="ＭＳ Ｐゴシック"/>
            <family val="3"/>
            <charset val="128"/>
          </rPr>
          <t>金額だけ入力してください。</t>
        </r>
      </text>
    </comment>
    <comment ref="A63" authorId="1" shapeId="0" xr:uid="{D38FA619-6FC6-4ED6-B2C3-0F1ECC7B7B02}">
      <text>
        <r>
          <rPr>
            <b/>
            <sz val="9"/>
            <color indexed="81"/>
            <rFont val="ＭＳ Ｐゴシック"/>
            <family val="3"/>
            <charset val="128"/>
          </rPr>
          <t>yy-mm-dd形式で入力してください。</t>
        </r>
      </text>
    </comment>
    <comment ref="J63" authorId="1" shapeId="0" xr:uid="{FC0038E7-E6CB-4C5B-BABE-5C93DB3F8F1E}">
      <text>
        <r>
          <rPr>
            <b/>
            <sz val="9"/>
            <color indexed="81"/>
            <rFont val="ＭＳ Ｐゴシック"/>
            <family val="3"/>
            <charset val="128"/>
          </rPr>
          <t>金額だけ入力してください。</t>
        </r>
      </text>
    </comment>
    <comment ref="A64" authorId="1" shapeId="0" xr:uid="{88A505D5-12DC-43C3-B66C-3D3C561E9E16}">
      <text>
        <r>
          <rPr>
            <b/>
            <sz val="9"/>
            <color indexed="81"/>
            <rFont val="ＭＳ Ｐゴシック"/>
            <family val="3"/>
            <charset val="128"/>
          </rPr>
          <t>yy-mm-dd形式で入力してください。</t>
        </r>
      </text>
    </comment>
    <comment ref="J64" authorId="1" shapeId="0" xr:uid="{CB7D380C-B4EC-477E-B213-B77775B94EC0}">
      <text>
        <r>
          <rPr>
            <b/>
            <sz val="9"/>
            <color indexed="81"/>
            <rFont val="ＭＳ Ｐゴシック"/>
            <family val="3"/>
            <charset val="128"/>
          </rPr>
          <t>金額だけ入力してください。</t>
        </r>
      </text>
    </comment>
    <comment ref="A65" authorId="1" shapeId="0" xr:uid="{C2DE3181-44E9-4B26-B3E5-626BAB349FCB}">
      <text>
        <r>
          <rPr>
            <b/>
            <sz val="9"/>
            <color indexed="81"/>
            <rFont val="ＭＳ Ｐゴシック"/>
            <family val="3"/>
            <charset val="128"/>
          </rPr>
          <t>yy-mm-dd形式で入力してください。</t>
        </r>
      </text>
    </comment>
    <comment ref="J65" authorId="1" shapeId="0" xr:uid="{FE59761F-969A-4D72-A5EE-27EBD23A8959}">
      <text>
        <r>
          <rPr>
            <b/>
            <sz val="9"/>
            <color indexed="81"/>
            <rFont val="ＭＳ Ｐゴシック"/>
            <family val="3"/>
            <charset val="128"/>
          </rPr>
          <t>金額だけ入力してください。</t>
        </r>
      </text>
    </comment>
    <comment ref="A66" authorId="1" shapeId="0" xr:uid="{3D1A4549-7415-42CE-BECD-9A0F94E504EB}">
      <text>
        <r>
          <rPr>
            <b/>
            <sz val="9"/>
            <color indexed="81"/>
            <rFont val="ＭＳ Ｐゴシック"/>
            <family val="3"/>
            <charset val="128"/>
          </rPr>
          <t>yy-mm-dd形式で入力してください。</t>
        </r>
      </text>
    </comment>
    <comment ref="J66" authorId="1" shapeId="0" xr:uid="{96CCE14E-4D6F-405E-BAA0-9761697122D4}">
      <text>
        <r>
          <rPr>
            <b/>
            <sz val="9"/>
            <color indexed="81"/>
            <rFont val="ＭＳ Ｐゴシック"/>
            <family val="3"/>
            <charset val="128"/>
          </rPr>
          <t>金額だけ入力してください。</t>
        </r>
      </text>
    </comment>
    <comment ref="A67" authorId="1" shapeId="0" xr:uid="{5FC7B8EC-67B9-436F-9091-077044A56C5B}">
      <text>
        <r>
          <rPr>
            <b/>
            <sz val="9"/>
            <color indexed="81"/>
            <rFont val="ＭＳ Ｐゴシック"/>
            <family val="3"/>
            <charset val="128"/>
          </rPr>
          <t>yy-mm-dd形式で入力してください。</t>
        </r>
      </text>
    </comment>
    <comment ref="J67" authorId="1" shapeId="0" xr:uid="{631C39A3-0F97-43F6-95E3-11D608425802}">
      <text>
        <r>
          <rPr>
            <b/>
            <sz val="9"/>
            <color indexed="81"/>
            <rFont val="ＭＳ Ｐゴシック"/>
            <family val="3"/>
            <charset val="128"/>
          </rPr>
          <t>金額だけ入力してください。</t>
        </r>
      </text>
    </comment>
    <comment ref="A68" authorId="1" shapeId="0" xr:uid="{7AD43E16-0A8A-42F2-919D-EE662A9A8B2B}">
      <text>
        <r>
          <rPr>
            <b/>
            <sz val="9"/>
            <color indexed="81"/>
            <rFont val="ＭＳ Ｐゴシック"/>
            <family val="3"/>
            <charset val="128"/>
          </rPr>
          <t>yy-mm-dd形式で入力してください。</t>
        </r>
      </text>
    </comment>
    <comment ref="J68" authorId="1" shapeId="0" xr:uid="{00F50D1E-AE71-4F7B-A37A-D9FD0AD4772E}">
      <text>
        <r>
          <rPr>
            <b/>
            <sz val="9"/>
            <color indexed="81"/>
            <rFont val="ＭＳ Ｐゴシック"/>
            <family val="3"/>
            <charset val="128"/>
          </rPr>
          <t>金額だけ入力してください。</t>
        </r>
      </text>
    </comment>
    <comment ref="A69" authorId="1" shapeId="0" xr:uid="{20EA51B4-BC71-4217-884B-60AC194EE90A}">
      <text>
        <r>
          <rPr>
            <b/>
            <sz val="9"/>
            <color indexed="81"/>
            <rFont val="ＭＳ Ｐゴシック"/>
            <family val="3"/>
            <charset val="128"/>
          </rPr>
          <t>yy-mm-dd形式で入力してください。</t>
        </r>
      </text>
    </comment>
    <comment ref="J69" authorId="1" shapeId="0" xr:uid="{C425A991-34C7-446D-ABDE-A5EB3DE85BE7}">
      <text>
        <r>
          <rPr>
            <b/>
            <sz val="9"/>
            <color indexed="81"/>
            <rFont val="ＭＳ Ｐゴシック"/>
            <family val="3"/>
            <charset val="128"/>
          </rPr>
          <t>金額だけ入力してください。</t>
        </r>
      </text>
    </comment>
    <comment ref="A70" authorId="1" shapeId="0" xr:uid="{9939AE2C-67EC-4B4B-A09A-338A52D7F0F9}">
      <text>
        <r>
          <rPr>
            <b/>
            <sz val="9"/>
            <color indexed="81"/>
            <rFont val="ＭＳ Ｐゴシック"/>
            <family val="3"/>
            <charset val="128"/>
          </rPr>
          <t>yy-mm-dd形式で入力してください。</t>
        </r>
      </text>
    </comment>
    <comment ref="J70" authorId="1" shapeId="0" xr:uid="{A8D9503D-BF3E-436D-A789-BC79226BAF93}">
      <text>
        <r>
          <rPr>
            <b/>
            <sz val="9"/>
            <color indexed="81"/>
            <rFont val="ＭＳ Ｐゴシック"/>
            <family val="3"/>
            <charset val="128"/>
          </rPr>
          <t>金額だけ入力してください。</t>
        </r>
      </text>
    </comment>
    <comment ref="A71" authorId="1" shapeId="0" xr:uid="{5C5082AF-91F3-41FF-ADC2-E752C5C28B90}">
      <text>
        <r>
          <rPr>
            <b/>
            <sz val="9"/>
            <color indexed="81"/>
            <rFont val="ＭＳ Ｐゴシック"/>
            <family val="3"/>
            <charset val="128"/>
          </rPr>
          <t>yy-mm-dd形式で入力してください。</t>
        </r>
      </text>
    </comment>
    <comment ref="J71" authorId="1" shapeId="0" xr:uid="{A86CFE9C-8FB5-4A6A-B5C4-0218A8E8782B}">
      <text>
        <r>
          <rPr>
            <b/>
            <sz val="9"/>
            <color indexed="81"/>
            <rFont val="ＭＳ Ｐゴシック"/>
            <family val="3"/>
            <charset val="128"/>
          </rPr>
          <t>金額だけ入力してください。</t>
        </r>
      </text>
    </comment>
    <comment ref="A72" authorId="1" shapeId="0" xr:uid="{34A9EDDD-79A5-46C1-839F-AADAD57ADC58}">
      <text>
        <r>
          <rPr>
            <b/>
            <sz val="9"/>
            <color indexed="81"/>
            <rFont val="ＭＳ Ｐゴシック"/>
            <family val="3"/>
            <charset val="128"/>
          </rPr>
          <t>yy-mm-dd形式で入力してください。</t>
        </r>
      </text>
    </comment>
    <comment ref="J72" authorId="1" shapeId="0" xr:uid="{378AD4F6-1220-4293-9B03-FE075CE5DD6D}">
      <text>
        <r>
          <rPr>
            <b/>
            <sz val="9"/>
            <color indexed="81"/>
            <rFont val="ＭＳ Ｐゴシック"/>
            <family val="3"/>
            <charset val="128"/>
          </rPr>
          <t>金額だけ入力してください。</t>
        </r>
      </text>
    </comment>
    <comment ref="A73" authorId="1" shapeId="0" xr:uid="{DD564F66-F298-4987-8B78-19932AA3DCDC}">
      <text>
        <r>
          <rPr>
            <b/>
            <sz val="9"/>
            <color indexed="81"/>
            <rFont val="ＭＳ Ｐゴシック"/>
            <family val="3"/>
            <charset val="128"/>
          </rPr>
          <t>yy-mm-dd形式で入力してください。</t>
        </r>
      </text>
    </comment>
    <comment ref="J73" authorId="1" shapeId="0" xr:uid="{EF2A93F5-1742-41EB-9469-6C7EF121CDD6}">
      <text>
        <r>
          <rPr>
            <b/>
            <sz val="9"/>
            <color indexed="81"/>
            <rFont val="ＭＳ Ｐゴシック"/>
            <family val="3"/>
            <charset val="128"/>
          </rPr>
          <t>金額だけ入力してください。</t>
        </r>
      </text>
    </comment>
    <comment ref="A74" authorId="1" shapeId="0" xr:uid="{64FE8801-4BEA-4796-91B4-650106219370}">
      <text>
        <r>
          <rPr>
            <b/>
            <sz val="9"/>
            <color indexed="81"/>
            <rFont val="ＭＳ Ｐゴシック"/>
            <family val="3"/>
            <charset val="128"/>
          </rPr>
          <t>yy-mm-dd形式で入力してください。</t>
        </r>
      </text>
    </comment>
    <comment ref="J74" authorId="1" shapeId="0" xr:uid="{7DB0D318-7C96-4A67-ACD4-AC31C6ACCA10}">
      <text>
        <r>
          <rPr>
            <b/>
            <sz val="9"/>
            <color indexed="81"/>
            <rFont val="ＭＳ Ｐゴシック"/>
            <family val="3"/>
            <charset val="128"/>
          </rPr>
          <t>金額だけ入力してください。</t>
        </r>
      </text>
    </comment>
  </commentList>
</comments>
</file>

<file path=xl/sharedStrings.xml><?xml version="1.0" encoding="utf-8"?>
<sst xmlns="http://schemas.openxmlformats.org/spreadsheetml/2006/main" count="499" uniqueCount="257">
  <si>
    <t>当ファイルの入力方法</t>
  </si>
  <si>
    <t>１．事前準備</t>
  </si>
  <si>
    <t>（題目が青色の部分）</t>
  </si>
  <si>
    <t>（３）シート'祝日表'の入力年、入力月に提出する年、月を設定する。</t>
  </si>
  <si>
    <t>（ボタンを押して下さい。）</t>
  </si>
  <si>
    <t>２．実績を入力</t>
  </si>
  <si>
    <t>（例）</t>
  </si>
  <si>
    <t>（１）勤務区分の内訳として下記の何れかを入力する。</t>
  </si>
  <si>
    <t>勤務区分</t>
  </si>
  <si>
    <t>休出</t>
  </si>
  <si>
    <t>有休</t>
  </si>
  <si>
    <t>欠勤</t>
  </si>
  <si>
    <t>年</t>
  </si>
  <si>
    <t>月分</t>
  </si>
  <si>
    <t xml:space="preserve">   氏　　名</t>
  </si>
  <si>
    <t xml:space="preserve">  印</t>
  </si>
  <si>
    <t xml:space="preserve">      就業日</t>
  </si>
  <si>
    <t>始業時刻</t>
  </si>
  <si>
    <t>終業時刻</t>
  </si>
  <si>
    <t>休憩</t>
  </si>
  <si>
    <t>実動時間</t>
  </si>
  <si>
    <t>勤務</t>
  </si>
  <si>
    <t>日</t>
  </si>
  <si>
    <t>曜日</t>
  </si>
  <si>
    <t>時</t>
  </si>
  <si>
    <t>分</t>
  </si>
  <si>
    <t>区分</t>
  </si>
  <si>
    <t>業</t>
  </si>
  <si>
    <t>内</t>
  </si>
  <si>
    <t>容</t>
  </si>
  <si>
    <t>当月</t>
  </si>
  <si>
    <t>総勤務日数</t>
  </si>
  <si>
    <t>通常出勤</t>
  </si>
  <si>
    <t>休日出勤</t>
  </si>
  <si>
    <t>欠勤日数</t>
  </si>
  <si>
    <t>合計</t>
  </si>
  <si>
    <t>総実動時間</t>
  </si>
  <si>
    <t>時間</t>
  </si>
  <si>
    <t>遅刻・早退</t>
  </si>
  <si>
    <t>有給日数</t>
  </si>
  <si>
    <t>（毎月第一営業日提出     勤務責任者 －－ 本社 －－ 本社管理）</t>
  </si>
  <si>
    <t>月</t>
  </si>
  <si>
    <t>～</t>
  </si>
  <si>
    <t>月末ﾌﾗｸﾞ</t>
  </si>
  <si>
    <t>入力年</t>
  </si>
  <si>
    <t>入力月</t>
  </si>
  <si>
    <t>休日ﾌﾗｸﾞ</t>
  </si>
  <si>
    <t>祝　日　表（一般）</t>
  </si>
  <si>
    <t>１月</t>
  </si>
  <si>
    <t>２月</t>
  </si>
  <si>
    <t>３月</t>
  </si>
  <si>
    <t>４月</t>
  </si>
  <si>
    <t>５月</t>
  </si>
  <si>
    <t>６月</t>
  </si>
  <si>
    <t>７月</t>
  </si>
  <si>
    <t>８月</t>
  </si>
  <si>
    <t>９月</t>
  </si>
  <si>
    <t>１０月</t>
  </si>
  <si>
    <t>１１月</t>
  </si>
  <si>
    <t>１２月</t>
  </si>
  <si>
    <t>閏年ﾌﾗｸﾞ</t>
  </si>
  <si>
    <t>氏　名</t>
  </si>
  <si>
    <t>祝　日　表（変動）</t>
  </si>
  <si>
    <t>八月のお盆休みが</t>
  </si>
  <si>
    <t>8／15～20の場合</t>
  </si>
  <si>
    <t>左記の様に入力する</t>
  </si>
  <si>
    <t>注意　　正月休み、夏休み、春分、秋分の日のように年によって、日付が変わる分のみ入力して下さい。　→入力例</t>
  </si>
  <si>
    <t>休　日　出　勤　表（変動）</t>
  </si>
  <si>
    <t>５月のゴールデンウィークの関係で</t>
  </si>
  <si>
    <t>本来休日となる日が振替によって</t>
  </si>
  <si>
    <t>通常出勤日扱になる場合</t>
  </si>
  <si>
    <t>５／3を通常出勤日にしたい場合</t>
  </si>
  <si>
    <t>注意　　出先の会社で休日が出勤日となる場合はその日を登録してください。　→入力例</t>
  </si>
  <si>
    <t>遅刻</t>
    <rPh sb="0" eb="2">
      <t>チコク</t>
    </rPh>
    <phoneticPr fontId="22"/>
  </si>
  <si>
    <t>早退</t>
    <rPh sb="0" eb="2">
      <t>ソウタイ</t>
    </rPh>
    <phoneticPr fontId="22"/>
  </si>
  <si>
    <t>特休</t>
    <rPh sb="0" eb="1">
      <t>トク</t>
    </rPh>
    <rPh sb="1" eb="2">
      <t>キュウ</t>
    </rPh>
    <phoneticPr fontId="22"/>
  </si>
  <si>
    <t>作　　　業　　　場　　　所</t>
    <rPh sb="0" eb="1">
      <t>サク</t>
    </rPh>
    <rPh sb="4" eb="5">
      <t>ギョウ</t>
    </rPh>
    <rPh sb="8" eb="9">
      <t>バ</t>
    </rPh>
    <rPh sb="12" eb="13">
      <t>ショ</t>
    </rPh>
    <phoneticPr fontId="22"/>
  </si>
  <si>
    <t>作　業　場　所</t>
    <rPh sb="0" eb="1">
      <t>サク</t>
    </rPh>
    <rPh sb="2" eb="3">
      <t>ギョウ</t>
    </rPh>
    <rPh sb="4" eb="5">
      <t>バ</t>
    </rPh>
    <rPh sb="6" eb="7">
      <t>ショ</t>
    </rPh>
    <phoneticPr fontId="22"/>
  </si>
  <si>
    <t>　　　但し、午前半日の場合・・”前休”と入力し</t>
    <rPh sb="3" eb="4">
      <t>タダ</t>
    </rPh>
    <rPh sb="6" eb="8">
      <t>ゴゼン</t>
    </rPh>
    <rPh sb="8" eb="10">
      <t>ハンニチ</t>
    </rPh>
    <rPh sb="16" eb="17">
      <t>ゼン</t>
    </rPh>
    <phoneticPr fontId="22"/>
  </si>
  <si>
    <t>　　　特別休暇の場合・・・・・”特休”と入力する。</t>
    <rPh sb="3" eb="5">
      <t>トクベツ</t>
    </rPh>
    <rPh sb="16" eb="17">
      <t>トク</t>
    </rPh>
    <phoneticPr fontId="22"/>
  </si>
  <si>
    <t>　　　遅刻した場合・・・・・・”遅刻”と入力する。</t>
    <rPh sb="3" eb="5">
      <t>チコク</t>
    </rPh>
    <rPh sb="16" eb="18">
      <t>チコク</t>
    </rPh>
    <phoneticPr fontId="22"/>
  </si>
  <si>
    <t>　　　早退した場合・・・・・・”早退”と入力する。</t>
    <rPh sb="3" eb="5">
      <t>ソウタイ</t>
    </rPh>
    <rPh sb="16" eb="18">
      <t>ソウタイ</t>
    </rPh>
    <phoneticPr fontId="22"/>
  </si>
  <si>
    <t>前休</t>
    <rPh sb="0" eb="1">
      <t>マエ</t>
    </rPh>
    <rPh sb="1" eb="2">
      <t>キュウ</t>
    </rPh>
    <phoneticPr fontId="22"/>
  </si>
  <si>
    <t>後休</t>
    <rPh sb="0" eb="1">
      <t>アト</t>
    </rPh>
    <rPh sb="1" eb="2">
      <t>キュウ</t>
    </rPh>
    <phoneticPr fontId="22"/>
  </si>
  <si>
    <t>　　　業務の都合により</t>
    <rPh sb="3" eb="5">
      <t>ギョウム</t>
    </rPh>
    <rPh sb="6" eb="8">
      <t>ツゴウ</t>
    </rPh>
    <phoneticPr fontId="22"/>
  </si>
  <si>
    <t>　　　定時外の出勤となる場合・”ｼﾌﾄ”と入力する。</t>
    <rPh sb="3" eb="5">
      <t>テイジ</t>
    </rPh>
    <rPh sb="5" eb="6">
      <t>ガイ</t>
    </rPh>
    <rPh sb="7" eb="9">
      <t>シュッキン</t>
    </rPh>
    <rPh sb="12" eb="14">
      <t>バアイ</t>
    </rPh>
    <rPh sb="21" eb="23">
      <t>ニュウリョク</t>
    </rPh>
    <phoneticPr fontId="22"/>
  </si>
  <si>
    <t>ｼﾌﾄ</t>
    <phoneticPr fontId="22"/>
  </si>
  <si>
    <t>通常出勤
時間</t>
    <rPh sb="0" eb="2">
      <t>ツウジョウ</t>
    </rPh>
    <rPh sb="2" eb="4">
      <t>シュッキン</t>
    </rPh>
    <rPh sb="5" eb="7">
      <t>ジカン</t>
    </rPh>
    <phoneticPr fontId="22"/>
  </si>
  <si>
    <t xml:space="preserve"> 作業先がフレックスの場合でも基本となる時間を定めること。</t>
    <rPh sb="1" eb="3">
      <t>サギョウ</t>
    </rPh>
    <rPh sb="3" eb="4">
      <t>サキ</t>
    </rPh>
    <rPh sb="11" eb="13">
      <t>バアイ</t>
    </rPh>
    <rPh sb="15" eb="17">
      <t>キホン</t>
    </rPh>
    <rPh sb="20" eb="22">
      <t>ジカン</t>
    </rPh>
    <rPh sb="23" eb="24">
      <t>サダ</t>
    </rPh>
    <phoneticPr fontId="22"/>
  </si>
  <si>
    <t>遅刻早退</t>
    <rPh sb="0" eb="2">
      <t>チコク</t>
    </rPh>
    <rPh sb="2" eb="4">
      <t>ソウタイ</t>
    </rPh>
    <phoneticPr fontId="22"/>
  </si>
  <si>
    <t>時間(h)</t>
    <rPh sb="0" eb="2">
      <t>ジカン</t>
    </rPh>
    <phoneticPr fontId="22"/>
  </si>
  <si>
    <t>MsgNo</t>
    <phoneticPr fontId="22"/>
  </si>
  <si>
    <t>エラーメッセージ</t>
    <phoneticPr fontId="22"/>
  </si>
  <si>
    <t>エラー内容</t>
    <rPh sb="3" eb="5">
      <t>ナイヨウ</t>
    </rPh>
    <phoneticPr fontId="22"/>
  </si>
  <si>
    <t>E001</t>
    <phoneticPr fontId="22"/>
  </si>
  <si>
    <t>基本時間の入力がありません。</t>
  </si>
  <si>
    <t>通常出勤時間欄の何れかが未入力になっている。</t>
    <rPh sb="0" eb="2">
      <t>ツウジョウ</t>
    </rPh>
    <rPh sb="2" eb="4">
      <t>シュッキン</t>
    </rPh>
    <rPh sb="4" eb="6">
      <t>ジカン</t>
    </rPh>
    <rPh sb="6" eb="7">
      <t>ラン</t>
    </rPh>
    <rPh sb="8" eb="9">
      <t>イズ</t>
    </rPh>
    <rPh sb="12" eb="15">
      <t>ミニュウリョク</t>
    </rPh>
    <phoneticPr fontId="22"/>
  </si>
  <si>
    <t>xx日の実働時間が15分単位になっていません。</t>
    <phoneticPr fontId="22"/>
  </si>
  <si>
    <t>E002</t>
    <phoneticPr fontId="22"/>
  </si>
  <si>
    <t>実働時間が15分単位になっていない日がある。</t>
    <rPh sb="0" eb="2">
      <t>ジツドウ</t>
    </rPh>
    <rPh sb="2" eb="4">
      <t>ジカン</t>
    </rPh>
    <rPh sb="7" eb="8">
      <t>フン</t>
    </rPh>
    <rPh sb="8" eb="10">
      <t>タンイ</t>
    </rPh>
    <rPh sb="17" eb="18">
      <t>ヒ</t>
    </rPh>
    <phoneticPr fontId="22"/>
  </si>
  <si>
    <t>E003</t>
    <phoneticPr fontId="22"/>
  </si>
  <si>
    <t>E004</t>
  </si>
  <si>
    <t>E005</t>
  </si>
  <si>
    <t>E006</t>
  </si>
  <si>
    <t>E007</t>
  </si>
  <si>
    <t>E008</t>
  </si>
  <si>
    <t>E010</t>
  </si>
  <si>
    <t>E011</t>
  </si>
  <si>
    <t>E012</t>
  </si>
  <si>
    <t>E013</t>
  </si>
  <si>
    <t>E014</t>
  </si>
  <si>
    <t>E015</t>
  </si>
  <si>
    <t>範囲外の入力があります。</t>
    <rPh sb="0" eb="2">
      <t>ハンイ</t>
    </rPh>
    <rPh sb="2" eb="3">
      <t>ガイ</t>
    </rPh>
    <rPh sb="4" eb="6">
      <t>ニュウリョク</t>
    </rPh>
    <phoneticPr fontId="22"/>
  </si>
  <si>
    <t>2月30日等の日付範囲外のフィールドに何か入力されている。</t>
    <rPh sb="1" eb="2">
      <t>ガツ</t>
    </rPh>
    <rPh sb="4" eb="5">
      <t>ニチ</t>
    </rPh>
    <rPh sb="5" eb="6">
      <t>トウ</t>
    </rPh>
    <rPh sb="7" eb="9">
      <t>ヒヅケ</t>
    </rPh>
    <rPh sb="9" eb="11">
      <t>ハンイ</t>
    </rPh>
    <rPh sb="11" eb="12">
      <t>ガイ</t>
    </rPh>
    <rPh sb="19" eb="20">
      <t>ナニ</t>
    </rPh>
    <rPh sb="21" eb="23">
      <t>ニュウリョク</t>
    </rPh>
    <phoneticPr fontId="22"/>
  </si>
  <si>
    <t>xx日の始業時間が一致しません。</t>
    <phoneticPr fontId="22"/>
  </si>
  <si>
    <t>xx日の作業内容が未入力です。</t>
    <phoneticPr fontId="22"/>
  </si>
  <si>
    <t>xx日は休日です。</t>
    <phoneticPr fontId="22"/>
  </si>
  <si>
    <t>　　　交通機関が遅延した場合・”遅延”と入力する。</t>
    <rPh sb="3" eb="5">
      <t>コウツウ</t>
    </rPh>
    <rPh sb="5" eb="7">
      <t>キカン</t>
    </rPh>
    <rPh sb="8" eb="10">
      <t>チエン</t>
    </rPh>
    <rPh sb="16" eb="18">
      <t>チエン</t>
    </rPh>
    <phoneticPr fontId="22"/>
  </si>
  <si>
    <t>遅延</t>
    <rPh sb="0" eb="2">
      <t>チエン</t>
    </rPh>
    <phoneticPr fontId="22"/>
  </si>
  <si>
    <t>注意2・・遅延証明書が無い場合は遅刻になります。</t>
    <rPh sb="5" eb="7">
      <t>チエン</t>
    </rPh>
    <rPh sb="7" eb="10">
      <t>ショウメイショ</t>
    </rPh>
    <rPh sb="11" eb="12">
      <t>ナ</t>
    </rPh>
    <rPh sb="13" eb="15">
      <t>バアイ</t>
    </rPh>
    <rPh sb="16" eb="18">
      <t>チコク</t>
    </rPh>
    <phoneticPr fontId="22"/>
  </si>
  <si>
    <t>注意１</t>
    <rPh sb="0" eb="2">
      <t>チュウイ</t>
    </rPh>
    <phoneticPr fontId="22"/>
  </si>
  <si>
    <t>注意２</t>
    <rPh sb="0" eb="2">
      <t>チュウイ</t>
    </rPh>
    <phoneticPr fontId="22"/>
  </si>
  <si>
    <t>xx日の終業時間が一致しません。</t>
    <phoneticPr fontId="22"/>
  </si>
  <si>
    <t>xx日の勤務時間が未入力です。</t>
    <rPh sb="4" eb="6">
      <t>キンム</t>
    </rPh>
    <rPh sb="6" eb="8">
      <t>ジカン</t>
    </rPh>
    <rPh sb="9" eb="12">
      <t>ミニュウリョク</t>
    </rPh>
    <phoneticPr fontId="22"/>
  </si>
  <si>
    <t>xx日に勤務時間が入力されてます。</t>
    <rPh sb="4" eb="6">
      <t>キンム</t>
    </rPh>
    <rPh sb="6" eb="8">
      <t>ジカン</t>
    </rPh>
    <rPh sb="9" eb="10">
      <t>イ</t>
    </rPh>
    <rPh sb="10" eb="11">
      <t>チカラ</t>
    </rPh>
    <phoneticPr fontId="22"/>
  </si>
  <si>
    <t>xx日は通常出勤時間と一致しません。</t>
    <rPh sb="2" eb="3">
      <t>ニチ</t>
    </rPh>
    <rPh sb="4" eb="6">
      <t>ツウジョウ</t>
    </rPh>
    <rPh sb="6" eb="8">
      <t>シュッキン</t>
    </rPh>
    <rPh sb="8" eb="10">
      <t>ジカン</t>
    </rPh>
    <rPh sb="11" eb="13">
      <t>イッチ</t>
    </rPh>
    <phoneticPr fontId="22"/>
  </si>
  <si>
    <t>xx日の勤務時間が6時間未満です。</t>
    <phoneticPr fontId="22"/>
  </si>
  <si>
    <t>xx日の遅刻早退時間が未入力です。</t>
    <rPh sb="2" eb="3">
      <t>ニチ</t>
    </rPh>
    <rPh sb="4" eb="6">
      <t>チコク</t>
    </rPh>
    <rPh sb="6" eb="8">
      <t>ソウタイ</t>
    </rPh>
    <rPh sb="8" eb="10">
      <t>ジカン</t>
    </rPh>
    <rPh sb="11" eb="14">
      <t>ミニュウリョク</t>
    </rPh>
    <phoneticPr fontId="22"/>
  </si>
  <si>
    <t>xx日の遅刻早退時間が30分単位になっていません。</t>
    <rPh sb="2" eb="3">
      <t>ニチ</t>
    </rPh>
    <rPh sb="4" eb="6">
      <t>チコク</t>
    </rPh>
    <rPh sb="6" eb="8">
      <t>ソウタイ</t>
    </rPh>
    <rPh sb="8" eb="10">
      <t>ジカン</t>
    </rPh>
    <rPh sb="13" eb="14">
      <t>フン</t>
    </rPh>
    <rPh sb="14" eb="16">
      <t>タンイ</t>
    </rPh>
    <phoneticPr fontId="22"/>
  </si>
  <si>
    <t>xx日の勤務区分がリストにありません。</t>
    <rPh sb="2" eb="3">
      <t>ニチ</t>
    </rPh>
    <rPh sb="4" eb="6">
      <t>キンム</t>
    </rPh>
    <rPh sb="6" eb="8">
      <t>クブン</t>
    </rPh>
    <phoneticPr fontId="22"/>
  </si>
  <si>
    <t>始業時間が通常出勤時間の始業時間以後になっている日がある。
あるいは遅刻早退時間が少なすぎる日がある。</t>
    <rPh sb="0" eb="2">
      <t>シギョウ</t>
    </rPh>
    <rPh sb="2" eb="4">
      <t>ジカン</t>
    </rPh>
    <rPh sb="5" eb="7">
      <t>ツウジョウ</t>
    </rPh>
    <rPh sb="7" eb="9">
      <t>シュッキン</t>
    </rPh>
    <rPh sb="9" eb="11">
      <t>ジカン</t>
    </rPh>
    <rPh sb="12" eb="14">
      <t>シギョウ</t>
    </rPh>
    <rPh sb="14" eb="16">
      <t>ジカン</t>
    </rPh>
    <rPh sb="16" eb="18">
      <t>イゴ</t>
    </rPh>
    <rPh sb="24" eb="25">
      <t>ヒ</t>
    </rPh>
    <rPh sb="34" eb="36">
      <t>チコク</t>
    </rPh>
    <rPh sb="36" eb="38">
      <t>ソウタイ</t>
    </rPh>
    <rPh sb="38" eb="40">
      <t>ジカン</t>
    </rPh>
    <rPh sb="41" eb="42">
      <t>スク</t>
    </rPh>
    <rPh sb="46" eb="47">
      <t>ヒ</t>
    </rPh>
    <phoneticPr fontId="22"/>
  </si>
  <si>
    <t>終業時間が通常出勤時間の終業時間以前になっている日がある。
あるいは遅刻早退時間が少なすぎる日がある。</t>
    <rPh sb="0" eb="2">
      <t>シュウギョウ</t>
    </rPh>
    <rPh sb="2" eb="4">
      <t>ジカン</t>
    </rPh>
    <rPh sb="5" eb="7">
      <t>ツウジョウ</t>
    </rPh>
    <rPh sb="7" eb="9">
      <t>シュッキン</t>
    </rPh>
    <rPh sb="9" eb="11">
      <t>ジカン</t>
    </rPh>
    <rPh sb="12" eb="14">
      <t>シュウギョウ</t>
    </rPh>
    <rPh sb="14" eb="16">
      <t>ジカン</t>
    </rPh>
    <rPh sb="16" eb="18">
      <t>イゼン</t>
    </rPh>
    <rPh sb="24" eb="25">
      <t>ヒ</t>
    </rPh>
    <rPh sb="34" eb="36">
      <t>チコク</t>
    </rPh>
    <rPh sb="36" eb="38">
      <t>ソウタイ</t>
    </rPh>
    <rPh sb="38" eb="40">
      <t>ジカン</t>
    </rPh>
    <rPh sb="41" eb="42">
      <t>スク</t>
    </rPh>
    <rPh sb="46" eb="47">
      <t>ヒ</t>
    </rPh>
    <phoneticPr fontId="22"/>
  </si>
  <si>
    <t>作業内容が入力されていない。</t>
    <rPh sb="0" eb="2">
      <t>サギョウ</t>
    </rPh>
    <rPh sb="2" eb="4">
      <t>ナイヨウ</t>
    </rPh>
    <rPh sb="5" eb="7">
      <t>ニュウリョク</t>
    </rPh>
    <phoneticPr fontId="22"/>
  </si>
  <si>
    <t>勤務時間が入力されていない。</t>
    <rPh sb="0" eb="2">
      <t>キンム</t>
    </rPh>
    <rPh sb="2" eb="4">
      <t>ジカン</t>
    </rPh>
    <rPh sb="5" eb="7">
      <t>ニュウリョク</t>
    </rPh>
    <phoneticPr fontId="22"/>
  </si>
  <si>
    <t>休日に休日以外に使用する区分を使用している。</t>
    <rPh sb="0" eb="2">
      <t>キュウジツ</t>
    </rPh>
    <rPh sb="3" eb="5">
      <t>キュウジツ</t>
    </rPh>
    <rPh sb="5" eb="7">
      <t>イガイ</t>
    </rPh>
    <rPh sb="8" eb="10">
      <t>シヨウ</t>
    </rPh>
    <rPh sb="12" eb="14">
      <t>クブン</t>
    </rPh>
    <rPh sb="15" eb="17">
      <t>シヨウ</t>
    </rPh>
    <phoneticPr fontId="22"/>
  </si>
  <si>
    <t>遅刻早退のある日に遅刻早退時間が未入力の日がある。</t>
    <rPh sb="0" eb="2">
      <t>チコク</t>
    </rPh>
    <rPh sb="2" eb="4">
      <t>ソウタイ</t>
    </rPh>
    <rPh sb="7" eb="8">
      <t>ヒ</t>
    </rPh>
    <rPh sb="9" eb="11">
      <t>チコク</t>
    </rPh>
    <rPh sb="11" eb="13">
      <t>ソウタイ</t>
    </rPh>
    <rPh sb="13" eb="15">
      <t>ジカン</t>
    </rPh>
    <rPh sb="16" eb="19">
      <t>ミニュウリョク</t>
    </rPh>
    <rPh sb="20" eb="21">
      <t>ヒ</t>
    </rPh>
    <phoneticPr fontId="22"/>
  </si>
  <si>
    <t>遅刻早退時間が30分単位になっていない日がある。（30分は0.5）</t>
    <rPh sb="0" eb="2">
      <t>チコク</t>
    </rPh>
    <rPh sb="2" eb="4">
      <t>ソウタイ</t>
    </rPh>
    <rPh sb="4" eb="6">
      <t>ジカン</t>
    </rPh>
    <rPh sb="9" eb="10">
      <t>フン</t>
    </rPh>
    <rPh sb="10" eb="12">
      <t>タンイ</t>
    </rPh>
    <rPh sb="19" eb="20">
      <t>ヒ</t>
    </rPh>
    <rPh sb="27" eb="28">
      <t>フン</t>
    </rPh>
    <phoneticPr fontId="22"/>
  </si>
  <si>
    <t>入力説明書に指定されている以外の区分を入力している日がある。</t>
    <rPh sb="0" eb="2">
      <t>ニュウリョク</t>
    </rPh>
    <rPh sb="2" eb="5">
      <t>セツメイショ</t>
    </rPh>
    <rPh sb="6" eb="8">
      <t>シテイ</t>
    </rPh>
    <rPh sb="13" eb="15">
      <t>イガイ</t>
    </rPh>
    <rPh sb="16" eb="18">
      <t>クブン</t>
    </rPh>
    <rPh sb="19" eb="21">
      <t>ニュウリョク</t>
    </rPh>
    <rPh sb="25" eb="26">
      <t>ヒ</t>
    </rPh>
    <phoneticPr fontId="22"/>
  </si>
  <si>
    <t>日まで</t>
    <rPh sb="0" eb="1">
      <t>ニチ</t>
    </rPh>
    <phoneticPr fontId="22"/>
  </si>
  <si>
    <t>日から</t>
    <rPh sb="0" eb="1">
      <t>ニチ</t>
    </rPh>
    <phoneticPr fontId="22"/>
  </si>
  <si>
    <t>←通常はこちらに入力すること</t>
    <rPh sb="1" eb="3">
      <t>ツウジョウ</t>
    </rPh>
    <rPh sb="8" eb="10">
      <t>ニュウリョク</t>
    </rPh>
    <phoneticPr fontId="22"/>
  </si>
  <si>
    <t>←月の途中からお客様が変わった時のみ入力すること</t>
    <rPh sb="1" eb="2">
      <t>ツキ</t>
    </rPh>
    <rPh sb="3" eb="5">
      <t>トチュウ</t>
    </rPh>
    <rPh sb="8" eb="10">
      <t>キャクサマ</t>
    </rPh>
    <rPh sb="11" eb="12">
      <t>カ</t>
    </rPh>
    <rPh sb="15" eb="16">
      <t>トキ</t>
    </rPh>
    <rPh sb="18" eb="20">
      <t>ニュウリョク</t>
    </rPh>
    <phoneticPr fontId="22"/>
  </si>
  <si>
    <t>通常出勤時間と一致していない日がある。（半休等の区分使用時）</t>
    <rPh sb="0" eb="2">
      <t>ツウジョウ</t>
    </rPh>
    <rPh sb="2" eb="4">
      <t>シュッキン</t>
    </rPh>
    <rPh sb="4" eb="6">
      <t>ジカン</t>
    </rPh>
    <rPh sb="7" eb="9">
      <t>イッチ</t>
    </rPh>
    <rPh sb="14" eb="15">
      <t>ヒ</t>
    </rPh>
    <rPh sb="20" eb="22">
      <t>ハンキュウ</t>
    </rPh>
    <rPh sb="22" eb="23">
      <t>トウ</t>
    </rPh>
    <rPh sb="24" eb="26">
      <t>クブン</t>
    </rPh>
    <rPh sb="26" eb="29">
      <t>シヨウジ</t>
    </rPh>
    <phoneticPr fontId="22"/>
  </si>
  <si>
    <t>E017</t>
  </si>
  <si>
    <t>xx日の休憩時間が基準時間に達していません。</t>
    <rPh sb="2" eb="3">
      <t>ニチ</t>
    </rPh>
    <rPh sb="4" eb="6">
      <t>キュウケイ</t>
    </rPh>
    <rPh sb="6" eb="8">
      <t>ジカン</t>
    </rPh>
    <rPh sb="9" eb="11">
      <t>キジュン</t>
    </rPh>
    <rPh sb="11" eb="13">
      <t>ジカン</t>
    </rPh>
    <rPh sb="14" eb="15">
      <t>タッ</t>
    </rPh>
    <phoneticPr fontId="22"/>
  </si>
  <si>
    <t>休憩時間が少なすぎる。
実働時間が8時間以内の場合、通常出勤の休憩時間
8時間超11時間半以内の場合、通常出勤の休憩時間＋３０
11時間半超の場合、通常出勤の休憩時間＋６０</t>
    <rPh sb="0" eb="2">
      <t>キュウケイ</t>
    </rPh>
    <rPh sb="2" eb="4">
      <t>ジカン</t>
    </rPh>
    <rPh sb="5" eb="6">
      <t>スク</t>
    </rPh>
    <rPh sb="12" eb="14">
      <t>ジツドウ</t>
    </rPh>
    <rPh sb="14" eb="16">
      <t>ジカン</t>
    </rPh>
    <rPh sb="18" eb="20">
      <t>ジカン</t>
    </rPh>
    <rPh sb="20" eb="22">
      <t>イナイ</t>
    </rPh>
    <rPh sb="23" eb="25">
      <t>バアイ</t>
    </rPh>
    <rPh sb="26" eb="28">
      <t>ツウジョウ</t>
    </rPh>
    <rPh sb="28" eb="30">
      <t>シュッキン</t>
    </rPh>
    <rPh sb="31" eb="33">
      <t>キュウケイ</t>
    </rPh>
    <rPh sb="33" eb="35">
      <t>ジカン</t>
    </rPh>
    <rPh sb="37" eb="39">
      <t>ジカン</t>
    </rPh>
    <rPh sb="39" eb="40">
      <t>チョウ</t>
    </rPh>
    <rPh sb="42" eb="44">
      <t>ジカン</t>
    </rPh>
    <rPh sb="44" eb="45">
      <t>ハン</t>
    </rPh>
    <rPh sb="45" eb="47">
      <t>イナイ</t>
    </rPh>
    <rPh sb="48" eb="50">
      <t>バアイ</t>
    </rPh>
    <rPh sb="51" eb="53">
      <t>ツウジョウ</t>
    </rPh>
    <rPh sb="53" eb="55">
      <t>シュッキン</t>
    </rPh>
    <rPh sb="56" eb="58">
      <t>キュウケイ</t>
    </rPh>
    <rPh sb="58" eb="60">
      <t>ジカン</t>
    </rPh>
    <rPh sb="66" eb="68">
      <t>ジカン</t>
    </rPh>
    <rPh sb="68" eb="69">
      <t>ハン</t>
    </rPh>
    <rPh sb="69" eb="70">
      <t>チョウ</t>
    </rPh>
    <rPh sb="71" eb="73">
      <t>バアイ</t>
    </rPh>
    <rPh sb="74" eb="76">
      <t>ツウジョウ</t>
    </rPh>
    <rPh sb="76" eb="78">
      <t>シュッキン</t>
    </rPh>
    <rPh sb="79" eb="81">
      <t>キュウケイ</t>
    </rPh>
    <rPh sb="81" eb="83">
      <t>ジカン</t>
    </rPh>
    <phoneticPr fontId="22"/>
  </si>
  <si>
    <t>xx日の勤務時間が8時間未満です。</t>
    <phoneticPr fontId="22"/>
  </si>
  <si>
    <t>E016</t>
  </si>
  <si>
    <t>E018</t>
  </si>
  <si>
    <t>xx日は休日出勤の条件を満たしていません。</t>
    <phoneticPr fontId="22"/>
  </si>
  <si>
    <t>土曜、日曜、祝日の何れかの出勤時間が6時間未満の日がある。</t>
    <rPh sb="0" eb="2">
      <t>ドヨウ</t>
    </rPh>
    <rPh sb="3" eb="5">
      <t>ニチヨウ</t>
    </rPh>
    <rPh sb="6" eb="8">
      <t>シュクジツ</t>
    </rPh>
    <rPh sb="9" eb="10">
      <t>イヅ</t>
    </rPh>
    <rPh sb="13" eb="15">
      <t>シュッキン</t>
    </rPh>
    <rPh sb="15" eb="17">
      <t>ジカン</t>
    </rPh>
    <rPh sb="19" eb="21">
      <t>ジカン</t>
    </rPh>
    <rPh sb="21" eb="23">
      <t>ミマン</t>
    </rPh>
    <rPh sb="24" eb="25">
      <t>ヒ</t>
    </rPh>
    <phoneticPr fontId="22"/>
  </si>
  <si>
    <t>　　　　　　</t>
  </si>
  <si>
    <t>技術者名</t>
  </si>
  <si>
    <t>月 日</t>
  </si>
  <si>
    <t>乗 車 経 路</t>
  </si>
  <si>
    <t>交 通 費</t>
  </si>
  <si>
    <t>宿 泊 費</t>
  </si>
  <si>
    <t>そ の 他</t>
  </si>
  <si>
    <t>合     計</t>
  </si>
  <si>
    <t>合　　　　　計</t>
  </si>
  <si>
    <t>交 通 機 関 ・ 宿 泊 先</t>
    <rPh sb="0" eb="1">
      <t>コウ</t>
    </rPh>
    <rPh sb="2" eb="3">
      <t>ツウ</t>
    </rPh>
    <rPh sb="4" eb="5">
      <t>キ</t>
    </rPh>
    <rPh sb="6" eb="7">
      <t>セキ</t>
    </rPh>
    <rPh sb="10" eb="11">
      <t>ヤド</t>
    </rPh>
    <rPh sb="12" eb="13">
      <t>ハク</t>
    </rPh>
    <rPh sb="14" eb="15">
      <t>サキ</t>
    </rPh>
    <phoneticPr fontId="26"/>
  </si>
  <si>
    <t>（２）シート'祝日表'に各出先で決定される休日(休日出勤日)を設定する。</t>
    <phoneticPr fontId="22"/>
  </si>
  <si>
    <t>　　　通常出勤の場合・・・・・何も入力しない。</t>
    <phoneticPr fontId="22"/>
  </si>
  <si>
    <t>　　　休日出勤の場合・・・・・”休出”と入力する。</t>
    <phoneticPr fontId="22"/>
  </si>
  <si>
    <t>　　　有給休暇の場合・・・・・”有休”と入力する。</t>
    <phoneticPr fontId="22"/>
  </si>
  <si>
    <t>　　　午後半日の場合・・・・・”後休”と入力する。</t>
    <rPh sb="3" eb="5">
      <t>ゴゴ</t>
    </rPh>
    <rPh sb="5" eb="7">
      <t>ハンニチ</t>
    </rPh>
    <rPh sb="16" eb="17">
      <t>アト</t>
    </rPh>
    <rPh sb="17" eb="18">
      <t>キュウ</t>
    </rPh>
    <phoneticPr fontId="22"/>
  </si>
  <si>
    <t>　　　欠勤した場合・・・・・・”欠勤”と入力する。</t>
    <phoneticPr fontId="22"/>
  </si>
  <si>
    <t>ｼﾌﾄ</t>
    <phoneticPr fontId="22"/>
  </si>
  <si>
    <t>（３）入力チェック後に修正を行う場合、ロックを解除する為、</t>
    <rPh sb="3" eb="5">
      <t>ニュウリョク</t>
    </rPh>
    <rPh sb="9" eb="10">
      <t>ゴ</t>
    </rPh>
    <rPh sb="11" eb="13">
      <t>シュウセイ</t>
    </rPh>
    <rPh sb="14" eb="15">
      <t>オコナ</t>
    </rPh>
    <rPh sb="16" eb="18">
      <t>バアイ</t>
    </rPh>
    <rPh sb="23" eb="25">
      <t>カイジョ</t>
    </rPh>
    <rPh sb="27" eb="28">
      <t>タメ</t>
    </rPh>
    <phoneticPr fontId="22"/>
  </si>
  <si>
    <t>立替経費等請求シート</t>
    <rPh sb="0" eb="2">
      <t>タテカエ</t>
    </rPh>
    <rPh sb="2" eb="4">
      <t>ケイヒ</t>
    </rPh>
    <rPh sb="4" eb="5">
      <t>トウ</t>
    </rPh>
    <rPh sb="5" eb="7">
      <t>セイキュウ</t>
    </rPh>
    <phoneticPr fontId="22"/>
  </si>
  <si>
    <t>社員番号</t>
    <rPh sb="0" eb="2">
      <t>シャイン</t>
    </rPh>
    <rPh sb="2" eb="4">
      <t>バンゴウ</t>
    </rPh>
    <phoneticPr fontId="22"/>
  </si>
  <si>
    <t>所属</t>
    <rPh sb="0" eb="2">
      <t>ショゾク</t>
    </rPh>
    <phoneticPr fontId="22"/>
  </si>
  <si>
    <t>印</t>
    <rPh sb="0" eb="1">
      <t>イン</t>
    </rPh>
    <phoneticPr fontId="22"/>
  </si>
  <si>
    <t>発生日</t>
    <rPh sb="0" eb="3">
      <t>ハッセイビ</t>
    </rPh>
    <phoneticPr fontId="22"/>
  </si>
  <si>
    <t>費目</t>
    <rPh sb="0" eb="2">
      <t>ヒモク</t>
    </rPh>
    <phoneticPr fontId="22"/>
  </si>
  <si>
    <t>区間（から）</t>
    <rPh sb="0" eb="2">
      <t>クカン</t>
    </rPh>
    <phoneticPr fontId="22"/>
  </si>
  <si>
    <t>区間（まで）</t>
    <rPh sb="0" eb="2">
      <t>クカン</t>
    </rPh>
    <phoneticPr fontId="22"/>
  </si>
  <si>
    <t>種類</t>
    <rPh sb="0" eb="2">
      <t>シュルイ</t>
    </rPh>
    <phoneticPr fontId="22"/>
  </si>
  <si>
    <t>金額</t>
    <rPh sb="0" eb="2">
      <t>キンガク</t>
    </rPh>
    <phoneticPr fontId="22"/>
  </si>
  <si>
    <t>目的・備考</t>
    <rPh sb="0" eb="2">
      <t>モクテキ</t>
    </rPh>
    <rPh sb="3" eb="5">
      <t>ビコウ</t>
    </rPh>
    <phoneticPr fontId="22"/>
  </si>
  <si>
    <t>～</t>
    <phoneticPr fontId="22"/>
  </si>
  <si>
    <t>片道</t>
    <rPh sb="0" eb="2">
      <t>カタミチ</t>
    </rPh>
    <phoneticPr fontId="22"/>
  </si>
  <si>
    <t>発生月</t>
    <rPh sb="0" eb="2">
      <t>ハッセイ</t>
    </rPh>
    <rPh sb="2" eb="3">
      <t>ヅキ</t>
    </rPh>
    <phoneticPr fontId="22"/>
  </si>
  <si>
    <t>１シート目</t>
    <rPh sb="4" eb="5">
      <t>メ</t>
    </rPh>
    <phoneticPr fontId="22"/>
  </si>
  <si>
    <t>２シート目</t>
    <rPh sb="4" eb="5">
      <t>メ</t>
    </rPh>
    <phoneticPr fontId="22"/>
  </si>
  <si>
    <t>合計金額</t>
    <rPh sb="0" eb="2">
      <t>ゴウケイ</t>
    </rPh>
    <rPh sb="2" eb="4">
      <t>キンガク</t>
    </rPh>
    <phoneticPr fontId="22"/>
  </si>
  <si>
    <t>運賃種類</t>
    <rPh sb="0" eb="2">
      <t>ウンチン</t>
    </rPh>
    <rPh sb="2" eb="4">
      <t>シュルイ</t>
    </rPh>
    <phoneticPr fontId="22"/>
  </si>
  <si>
    <t>宿泊費</t>
    <rPh sb="0" eb="2">
      <t>シュクハク</t>
    </rPh>
    <rPh sb="2" eb="3">
      <t>ヒ</t>
    </rPh>
    <phoneticPr fontId="22"/>
  </si>
  <si>
    <t>往復</t>
    <rPh sb="0" eb="2">
      <t>オウフク</t>
    </rPh>
    <phoneticPr fontId="22"/>
  </si>
  <si>
    <t>宿泊日当</t>
    <rPh sb="0" eb="2">
      <t>シュクハク</t>
    </rPh>
    <rPh sb="2" eb="4">
      <t>ニットウ</t>
    </rPh>
    <phoneticPr fontId="22"/>
  </si>
  <si>
    <t>その他</t>
    <rPh sb="2" eb="3">
      <t>タ</t>
    </rPh>
    <phoneticPr fontId="22"/>
  </si>
  <si>
    <t>&lt;&lt;業務請求費&gt;&gt;</t>
    <rPh sb="2" eb="4">
      <t>ギョウム</t>
    </rPh>
    <rPh sb="4" eb="6">
      <t>セイキュウ</t>
    </rPh>
    <rPh sb="6" eb="7">
      <t>ヒ</t>
    </rPh>
    <phoneticPr fontId="22"/>
  </si>
  <si>
    <t>業務請求分</t>
    <rPh sb="0" eb="2">
      <t>ギョウム</t>
    </rPh>
    <rPh sb="2" eb="4">
      <t>セイキュウ</t>
    </rPh>
    <rPh sb="4" eb="5">
      <t>ブン</t>
    </rPh>
    <phoneticPr fontId="22"/>
  </si>
  <si>
    <t>　　　ロックの解除ボタンを押します。</t>
    <rPh sb="7" eb="9">
      <t>カイジョ</t>
    </rPh>
    <rPh sb="13" eb="14">
      <t>オ</t>
    </rPh>
    <phoneticPr fontId="22"/>
  </si>
  <si>
    <t>　　　修正後は再度、入力チェックボタンを押してください。</t>
    <rPh sb="3" eb="5">
      <t>シュウセイ</t>
    </rPh>
    <rPh sb="5" eb="6">
      <t>ゴ</t>
    </rPh>
    <rPh sb="7" eb="9">
      <t>サイド</t>
    </rPh>
    <rPh sb="10" eb="12">
      <t>ニュウリョク</t>
    </rPh>
    <rPh sb="20" eb="21">
      <t>オ</t>
    </rPh>
    <phoneticPr fontId="22"/>
  </si>
  <si>
    <t>（２）シート'勤務実績（月間）'全項目入力後に入力ミスがないか確認を</t>
    <rPh sb="16" eb="19">
      <t>ゼンコウモク</t>
    </rPh>
    <rPh sb="19" eb="22">
      <t>ニュウリョクゴ</t>
    </rPh>
    <rPh sb="23" eb="25">
      <t>ニュウリョク</t>
    </rPh>
    <rPh sb="31" eb="33">
      <t>カクニン</t>
    </rPh>
    <phoneticPr fontId="22"/>
  </si>
  <si>
    <t>　　　行う為、シート'勤務実績（月間）'の入力チェックボタンを押します。</t>
    <rPh sb="31" eb="32">
      <t>オ</t>
    </rPh>
    <phoneticPr fontId="22"/>
  </si>
  <si>
    <t>　　　不備があるとエラーが表示されます。右上のGM欄に”完了”と</t>
    <rPh sb="3" eb="5">
      <t>フビ</t>
    </rPh>
    <rPh sb="13" eb="15">
      <t>ヒョウジ</t>
    </rPh>
    <rPh sb="20" eb="22">
      <t>ミギウエ</t>
    </rPh>
    <rPh sb="25" eb="26">
      <t>ラン</t>
    </rPh>
    <rPh sb="28" eb="30">
      <t>カンリョウ</t>
    </rPh>
    <phoneticPr fontId="22"/>
  </si>
  <si>
    <t>　　　表示されるまで実行して下さい。</t>
    <phoneticPr fontId="22"/>
  </si>
  <si>
    <t>３．上長に提出する前に</t>
    <rPh sb="2" eb="4">
      <t>ジョウチョウ</t>
    </rPh>
    <rPh sb="5" eb="7">
      <t>テイシュツ</t>
    </rPh>
    <phoneticPr fontId="22"/>
  </si>
  <si>
    <t>振休</t>
  </si>
  <si>
    <t>振休</t>
    <rPh sb="0" eb="1">
      <t>フ</t>
    </rPh>
    <phoneticPr fontId="22"/>
  </si>
  <si>
    <t>振予</t>
    <rPh sb="0" eb="1">
      <t>フ</t>
    </rPh>
    <rPh sb="1" eb="2">
      <t>ヨ</t>
    </rPh>
    <phoneticPr fontId="22"/>
  </si>
  <si>
    <t>　　　振休の場合・・・・・・・”振休”と入力する。</t>
  </si>
  <si>
    <t>注意1・・休日出勤とは休日に出勤し振休を取得しない場合の事をさす。</t>
  </si>
  <si>
    <t>　　　振休を取得予定の場合・・”振予”と入力する。</t>
    <rPh sb="6" eb="8">
      <t>シュトク</t>
    </rPh>
    <rPh sb="8" eb="10">
      <t>ヨテイ</t>
    </rPh>
    <phoneticPr fontId="22"/>
  </si>
  <si>
    <t>振予</t>
    <phoneticPr fontId="22"/>
  </si>
  <si>
    <t>振休取得予定の日に勤務時間が入力されている。</t>
    <rPh sb="2" eb="4">
      <t>シュトク</t>
    </rPh>
    <rPh sb="4" eb="6">
      <t>ヨテイ</t>
    </rPh>
    <rPh sb="7" eb="8">
      <t>ヒ</t>
    </rPh>
    <rPh sb="9" eb="11">
      <t>キンム</t>
    </rPh>
    <rPh sb="11" eb="13">
      <t>ジカン</t>
    </rPh>
    <rPh sb="14" eb="16">
      <t>ニュウリョク</t>
    </rPh>
    <phoneticPr fontId="22"/>
  </si>
  <si>
    <t>勤務時間が6時間未満で振休の区分を設定している日がある。（移行期間のみ）</t>
    <rPh sb="0" eb="2">
      <t>キンム</t>
    </rPh>
    <rPh sb="2" eb="4">
      <t>ジカン</t>
    </rPh>
    <rPh sb="6" eb="8">
      <t>ジカン</t>
    </rPh>
    <rPh sb="8" eb="10">
      <t>ミマン</t>
    </rPh>
    <rPh sb="14" eb="16">
      <t>クブン</t>
    </rPh>
    <rPh sb="17" eb="19">
      <t>セッテイ</t>
    </rPh>
    <rPh sb="23" eb="24">
      <t>ヒ</t>
    </rPh>
    <rPh sb="29" eb="31">
      <t>イコウ</t>
    </rPh>
    <rPh sb="31" eb="33">
      <t>キカン</t>
    </rPh>
    <phoneticPr fontId="22"/>
  </si>
  <si>
    <t>勤務時間が8時間未満で振休の区分を設定している日がある。</t>
    <rPh sb="0" eb="2">
      <t>キンム</t>
    </rPh>
    <rPh sb="2" eb="4">
      <t>ジカン</t>
    </rPh>
    <rPh sb="6" eb="8">
      <t>ジカン</t>
    </rPh>
    <rPh sb="8" eb="10">
      <t>ミマン</t>
    </rPh>
    <rPh sb="14" eb="16">
      <t>クブン</t>
    </rPh>
    <rPh sb="17" eb="19">
      <t>セッテイ</t>
    </rPh>
    <rPh sb="23" eb="24">
      <t>ヒ</t>
    </rPh>
    <phoneticPr fontId="22"/>
  </si>
  <si>
    <t>（４）勤務実績シートの土日を設定する為、マクロを実行する。</t>
    <rPh sb="3" eb="5">
      <t>キンム</t>
    </rPh>
    <rPh sb="5" eb="7">
      <t>ジッセキ</t>
    </rPh>
    <phoneticPr fontId="22"/>
  </si>
  <si>
    <t>２．１　勤務実績の勤務区分を入力する。（00年4月12日追加）</t>
    <rPh sb="4" eb="6">
      <t>キンム</t>
    </rPh>
    <rPh sb="6" eb="8">
      <t>ジッセキ</t>
    </rPh>
    <phoneticPr fontId="22"/>
  </si>
  <si>
    <t>（１）勤務実績、立替経費の入力を行う。</t>
    <rPh sb="3" eb="5">
      <t>キンム</t>
    </rPh>
    <rPh sb="5" eb="7">
      <t>ジッセキ</t>
    </rPh>
    <rPh sb="8" eb="10">
      <t>タテカエ</t>
    </rPh>
    <rPh sb="10" eb="12">
      <t>ケイヒ</t>
    </rPh>
    <phoneticPr fontId="22"/>
  </si>
  <si>
    <t>祝日表の入力年が不正です。</t>
    <phoneticPr fontId="22"/>
  </si>
  <si>
    <t>祝日表の入力年が数字で入力されていない。</t>
    <rPh sb="0" eb="2">
      <t>シュクジツ</t>
    </rPh>
    <rPh sb="2" eb="3">
      <t>ヒョウ</t>
    </rPh>
    <rPh sb="4" eb="6">
      <t>ニュウリョク</t>
    </rPh>
    <rPh sb="6" eb="7">
      <t>ネン</t>
    </rPh>
    <rPh sb="8" eb="10">
      <t>スウジ</t>
    </rPh>
    <rPh sb="11" eb="13">
      <t>ニュウリョク</t>
    </rPh>
    <phoneticPr fontId="22"/>
  </si>
  <si>
    <t>祝日表の入力月が不正です。</t>
    <phoneticPr fontId="22"/>
  </si>
  <si>
    <t>祝日表の入力年が数字で入力されていない、または1～12の範囲内で入力されていない。</t>
    <rPh sb="0" eb="2">
      <t>シュクジツ</t>
    </rPh>
    <rPh sb="2" eb="3">
      <t>ヒョウ</t>
    </rPh>
    <rPh sb="4" eb="6">
      <t>ニュウリョク</t>
    </rPh>
    <rPh sb="6" eb="7">
      <t>ネン</t>
    </rPh>
    <rPh sb="8" eb="10">
      <t>スウジ</t>
    </rPh>
    <rPh sb="11" eb="13">
      <t>ニュウリョク</t>
    </rPh>
    <rPh sb="28" eb="30">
      <t>ハンイ</t>
    </rPh>
    <rPh sb="30" eb="31">
      <t>ナイ</t>
    </rPh>
    <rPh sb="32" eb="34">
      <t>ニュウリョク</t>
    </rPh>
    <phoneticPr fontId="22"/>
  </si>
  <si>
    <t>E019</t>
    <phoneticPr fontId="22"/>
  </si>
  <si>
    <t>E020</t>
    <phoneticPr fontId="22"/>
  </si>
  <si>
    <t>社員番号:</t>
    <rPh sb="0" eb="2">
      <t>シャイン</t>
    </rPh>
    <rPh sb="2" eb="4">
      <t>バンゴウ</t>
    </rPh>
    <phoneticPr fontId="26"/>
  </si>
  <si>
    <t xml:space="preserve"> 社 員 番 号</t>
    <phoneticPr fontId="22"/>
  </si>
  <si>
    <t>定期</t>
    <rPh sb="0" eb="2">
      <t>テイキ</t>
    </rPh>
    <phoneticPr fontId="22"/>
  </si>
  <si>
    <t>（１）シート'祝日表'に社員番号と氏名と最寄の駅を入力する。</t>
    <rPh sb="12" eb="14">
      <t>シャイン</t>
    </rPh>
    <rPh sb="14" eb="16">
      <t>バンゴウ</t>
    </rPh>
    <rPh sb="20" eb="22">
      <t>モヨリ</t>
    </rPh>
    <rPh sb="23" eb="24">
      <t>エキ</t>
    </rPh>
    <phoneticPr fontId="22"/>
  </si>
  <si>
    <t>（１）勤務カードを印刷する前に休日出勤日数を設定する為、</t>
    <rPh sb="3" eb="5">
      <t>キンム</t>
    </rPh>
    <phoneticPr fontId="22"/>
  </si>
  <si>
    <t>　　　マクロを実行する。（ボタンを押して下さい。）</t>
    <phoneticPr fontId="22"/>
  </si>
  <si>
    <t>～</t>
    <phoneticPr fontId="26"/>
  </si>
  <si>
    <t>INTER</t>
    <phoneticPr fontId="22"/>
  </si>
  <si>
    <t>入力年</t>
    <rPh sb="0" eb="2">
      <t>ニュウリョク</t>
    </rPh>
    <rPh sb="2" eb="3">
      <t>ネン</t>
    </rPh>
    <phoneticPr fontId="22"/>
  </si>
  <si>
    <t>Ｍ  Ｇ</t>
    <phoneticPr fontId="22"/>
  </si>
  <si>
    <t>チーフ</t>
    <phoneticPr fontId="22"/>
  </si>
  <si>
    <t>氏名</t>
    <rPh sb="0" eb="2">
      <t>シメイ</t>
    </rPh>
    <phoneticPr fontId="22"/>
  </si>
  <si>
    <t>３シート目</t>
    <rPh sb="4" eb="5">
      <t>メ</t>
    </rPh>
    <phoneticPr fontId="22"/>
  </si>
  <si>
    <t>GREEN</t>
    <phoneticPr fontId="22"/>
  </si>
  <si>
    <t>８月</t>
    <phoneticPr fontId="22"/>
  </si>
  <si>
    <t>&lt;&lt;経費、宿泊費、宿泊日当&gt;&gt;</t>
    <rPh sb="2" eb="4">
      <t>ケイヒ</t>
    </rPh>
    <rPh sb="5" eb="8">
      <t>シュクハクヒ</t>
    </rPh>
    <rPh sb="9" eb="11">
      <t>シュクハク</t>
    </rPh>
    <rPh sb="11" eb="13">
      <t>ニットウ</t>
    </rPh>
    <phoneticPr fontId="22"/>
  </si>
  <si>
    <t>経費（領収書無し）</t>
    <rPh sb="3" eb="6">
      <t>リョウシュウショ</t>
    </rPh>
    <rPh sb="6" eb="7">
      <t>ナ</t>
    </rPh>
    <phoneticPr fontId="22"/>
  </si>
  <si>
    <t>切符</t>
    <rPh sb="0" eb="2">
      <t>キップ</t>
    </rPh>
    <phoneticPr fontId="22"/>
  </si>
  <si>
    <t>駐輪場</t>
    <rPh sb="0" eb="3">
      <t>チュウリンジョウ</t>
    </rPh>
    <phoneticPr fontId="22"/>
  </si>
  <si>
    <t>ガソリン</t>
    <phoneticPr fontId="22"/>
  </si>
  <si>
    <t>費目a</t>
    <rPh sb="0" eb="2">
      <t>ヒモク</t>
    </rPh>
    <phoneticPr fontId="22"/>
  </si>
  <si>
    <t>費目b</t>
    <rPh sb="0" eb="2">
      <t>ヒモク</t>
    </rPh>
    <phoneticPr fontId="22"/>
  </si>
  <si>
    <t>交通機関など</t>
    <rPh sb="0" eb="2">
      <t>コウツウ</t>
    </rPh>
    <rPh sb="2" eb="4">
      <t>キカン</t>
    </rPh>
    <phoneticPr fontId="22"/>
  </si>
  <si>
    <t>交通機関/宿泊先など</t>
    <rPh sb="0" eb="2">
      <t>コウツウ</t>
    </rPh>
    <rPh sb="2" eb="4">
      <t>キカン</t>
    </rPh>
    <rPh sb="5" eb="7">
      <t>シュクハク</t>
    </rPh>
    <rPh sb="7" eb="8">
      <t>サキ</t>
    </rPh>
    <phoneticPr fontId="22"/>
  </si>
  <si>
    <t>経費（領収書有り）</t>
    <rPh sb="3" eb="6">
      <t>リョウシュウショ</t>
    </rPh>
    <rPh sb="6" eb="7">
      <t>ア</t>
    </rPh>
    <phoneticPr fontId="22"/>
  </si>
  <si>
    <t>&lt;&lt;通勤費（日常的に自宅から職場への移動に要する費用）&gt;&gt;</t>
    <rPh sb="2" eb="4">
      <t>ツウキン</t>
    </rPh>
    <rPh sb="4" eb="5">
      <t>ヒ</t>
    </rPh>
    <rPh sb="6" eb="9">
      <t>ニチジョウテキ</t>
    </rPh>
    <rPh sb="10" eb="12">
      <t>ジタク</t>
    </rPh>
    <rPh sb="14" eb="16">
      <t>ショクバ</t>
    </rPh>
    <rPh sb="18" eb="20">
      <t>イドウ</t>
    </rPh>
    <rPh sb="21" eb="22">
      <t>ヨウ</t>
    </rPh>
    <rPh sb="24" eb="26">
      <t>ヒヨウ</t>
    </rPh>
    <phoneticPr fontId="22"/>
  </si>
  <si>
    <t>片道・往復</t>
    <rPh sb="0" eb="2">
      <t>カタミチ</t>
    </rPh>
    <rPh sb="3" eb="5">
      <t>オウフク</t>
    </rPh>
    <phoneticPr fontId="22"/>
  </si>
  <si>
    <t>GREEN</t>
  </si>
  <si>
    <t>60</t>
    <phoneticPr fontId="22"/>
  </si>
  <si>
    <t>Ver4.0.3</t>
    <phoneticPr fontId="22"/>
  </si>
  <si>
    <t>大阪</t>
    <rPh sb="0" eb="2">
      <t>オオサカ</t>
    </rPh>
    <phoneticPr fontId="22"/>
  </si>
  <si>
    <t>休業</t>
    <rPh sb="0" eb="2">
      <t>キュウギョウ</t>
    </rPh>
    <phoneticPr fontId="22"/>
  </si>
  <si>
    <t>　　　休業の場合・・・・・・・”休業”と入力する。</t>
    <rPh sb="3" eb="5">
      <t>キュウギョウ</t>
    </rPh>
    <rPh sb="16" eb="18">
      <t>キュウギョウ</t>
    </rPh>
    <phoneticPr fontId="22"/>
  </si>
  <si>
    <t>xxx</t>
    <phoneticPr fontId="22"/>
  </si>
  <si>
    <t>xxx</t>
    <phoneticPr fontId="22"/>
  </si>
  <si>
    <t>作</t>
    <phoneticPr fontId="22"/>
  </si>
  <si>
    <t>テスト</t>
    <phoneticPr fontId="22"/>
  </si>
  <si>
    <t>60</t>
    <phoneticPr fontId="2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</si>
</sst>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Red]&quot;¥&quot;\-#,##0"/>
    <numFmt numFmtId="176" formatCode="d"/>
    <numFmt numFmtId="177" formatCode="aaa"/>
    <numFmt numFmtId="178" formatCode="00"/>
    <numFmt numFmtId="179" formatCode="0.0_ "/>
    <numFmt numFmtId="180" formatCode="0_ "/>
    <numFmt numFmtId="181" formatCode="m/d;@"/>
    <numFmt numFmtId="182" formatCode="0.00_ "/>
    <numFmt numFmtId="183" formatCode="m&quot;月&quot;d&quot;日&quot;;@"/>
    <numFmt numFmtId="184" formatCode="&quot;¥&quot;#,##0&quot;円&quot;;[Red]&quot;¥&quot;\-#,##0&quot;円&quot;"/>
    <numFmt numFmtId="185" formatCode="0&quot;泊&quot;_ "/>
    <numFmt numFmtId="186" formatCode="yyyy&quot;年&quot;m&quot;月度&quot;"/>
  </numFmts>
  <fonts count="40" x14ac:knownFonts="1">
    <font>
      <sz val="11"/>
      <name val="ＭＳ Ｐゴシック"/>
      <family val="3"/>
      <charset val="128"/>
    </font>
    <font>
      <b/>
      <sz val="11"/>
      <name val="ＭＳ Ｐゴシック"/>
      <family val="3"/>
      <charset val="128"/>
    </font>
    <font>
      <sz val="11"/>
      <name val="ＭＳ Ｐゴシック"/>
      <family val="3"/>
      <charset val="128"/>
    </font>
    <font>
      <sz val="10"/>
      <name val="ＭＳ 明朝"/>
      <family val="1"/>
      <charset val="128"/>
    </font>
    <font>
      <sz val="12"/>
      <name val="ＭＳ Ｐゴシック"/>
      <family val="3"/>
      <charset val="128"/>
    </font>
    <font>
      <sz val="9"/>
      <name val="ＭＳ 明朝"/>
      <family val="1"/>
      <charset val="128"/>
    </font>
    <font>
      <sz val="11"/>
      <name val="ＭＳ 明朝"/>
      <family val="1"/>
      <charset val="128"/>
    </font>
    <font>
      <sz val="9"/>
      <name val="ＭＳ Ｐゴシック"/>
      <family val="3"/>
      <charset val="128"/>
    </font>
    <font>
      <sz val="8"/>
      <name val="ＭＳ 明朝"/>
      <family val="1"/>
      <charset val="128"/>
    </font>
    <font>
      <sz val="10"/>
      <name val="ＭＳ Ｐゴシック"/>
      <family val="3"/>
      <charset val="128"/>
    </font>
    <font>
      <sz val="11"/>
      <color indexed="8"/>
      <name val="ＭＳ Ｐゴシック"/>
      <family val="3"/>
      <charset val="128"/>
    </font>
    <font>
      <sz val="10"/>
      <name val="ＭＳ 明朝"/>
      <family val="1"/>
      <charset val="128"/>
    </font>
    <font>
      <sz val="11"/>
      <name val="ＭＳ 明朝"/>
      <family val="1"/>
      <charset val="128"/>
    </font>
    <font>
      <sz val="24"/>
      <name val="ＭＳ 明朝"/>
      <family val="1"/>
      <charset val="128"/>
    </font>
    <font>
      <u/>
      <sz val="11"/>
      <name val="ＭＳ 明朝"/>
      <family val="1"/>
      <charset val="128"/>
    </font>
    <font>
      <sz val="12"/>
      <name val="ＭＳ 明朝"/>
      <family val="1"/>
      <charset val="128"/>
    </font>
    <font>
      <sz val="9"/>
      <name val="ＭＳ 明朝"/>
      <family val="1"/>
      <charset val="128"/>
    </font>
    <font>
      <sz val="20"/>
      <name val="ＭＳ 明朝"/>
      <family val="1"/>
      <charset val="128"/>
    </font>
    <font>
      <sz val="18"/>
      <name val="ＭＳ 明朝"/>
      <family val="1"/>
      <charset val="128"/>
    </font>
    <font>
      <sz val="8"/>
      <name val="ＭＳ 明朝"/>
      <family val="1"/>
      <charset val="128"/>
    </font>
    <font>
      <sz val="11"/>
      <color indexed="8"/>
      <name val="ＭＳ 明朝"/>
      <family val="1"/>
      <charset val="128"/>
    </font>
    <font>
      <sz val="11"/>
      <color indexed="10"/>
      <name val="ＭＳ 明朝"/>
      <family val="1"/>
      <charset val="128"/>
    </font>
    <font>
      <sz val="6"/>
      <name val="ＭＳ Ｐゴシック"/>
      <family val="3"/>
      <charset val="128"/>
    </font>
    <font>
      <sz val="18"/>
      <name val="ＭＳ Ｐ明朝"/>
      <family val="1"/>
      <charset val="128"/>
    </font>
    <font>
      <sz val="9"/>
      <color indexed="10"/>
      <name val="ＭＳ 明朝"/>
      <family val="1"/>
      <charset val="128"/>
    </font>
    <font>
      <sz val="11"/>
      <color indexed="9"/>
      <name val="ＭＳ 明朝"/>
      <family val="1"/>
      <charset val="128"/>
    </font>
    <font>
      <sz val="6"/>
      <name val="ＭＳ Ｐ明朝"/>
      <family val="1"/>
      <charset val="128"/>
    </font>
    <font>
      <u/>
      <sz val="16"/>
      <name val="ＭＳ 明朝"/>
      <family val="1"/>
      <charset val="128"/>
    </font>
    <font>
      <b/>
      <sz val="10"/>
      <name val="ＭＳ 明朝"/>
      <family val="1"/>
      <charset val="128"/>
    </font>
    <font>
      <b/>
      <sz val="12"/>
      <name val="ＭＳ 明朝"/>
      <family val="1"/>
      <charset val="128"/>
    </font>
    <font>
      <b/>
      <sz val="18"/>
      <name val="ＭＳ Ｐゴシック"/>
      <family val="3"/>
      <charset val="128"/>
    </font>
    <font>
      <b/>
      <sz val="12"/>
      <name val="ＭＳ Ｐゴシック"/>
      <family val="3"/>
      <charset val="128"/>
    </font>
    <font>
      <sz val="8"/>
      <name val="ＭＳ Ｐゴシック"/>
      <family val="3"/>
      <charset val="128"/>
    </font>
    <font>
      <b/>
      <sz val="10"/>
      <color indexed="14"/>
      <name val="ＭＳ Ｐゴシック"/>
      <family val="3"/>
      <charset val="128"/>
    </font>
    <font>
      <b/>
      <sz val="9"/>
      <color indexed="81"/>
      <name val="ＭＳ Ｐゴシック"/>
      <family val="3"/>
      <charset val="128"/>
    </font>
    <font>
      <sz val="16"/>
      <name val="ＭＳ Ｐ明朝"/>
      <family val="1"/>
      <charset val="128"/>
    </font>
    <font>
      <sz val="16"/>
      <name val="ＭＳ Ｐゴシック"/>
      <family val="3"/>
      <charset val="128"/>
    </font>
    <font>
      <sz val="10.5"/>
      <name val="ＭＳ Ｐゴシック"/>
      <family val="3"/>
      <charset val="128"/>
    </font>
    <font>
      <sz val="9"/>
      <color indexed="81"/>
      <name val="ＭＳ Ｐゴシック"/>
      <family val="3"/>
      <charset val="128"/>
    </font>
    <font>
      <sz val="11"/>
      <color rgb="FF000000"/>
      <name val="ＭＳ Ｐゴシック"/>
      <family val="3"/>
      <charset val="128"/>
    </font>
  </fonts>
  <fills count="8">
    <fill>
      <patternFill patternType="none"/>
    </fill>
    <fill>
      <patternFill patternType="gray125"/>
    </fill>
    <fill>
      <patternFill patternType="solid">
        <fgColor indexed="15"/>
        <bgColor indexed="64"/>
      </patternFill>
    </fill>
    <fill>
      <patternFill patternType="solid">
        <fgColor indexed="26"/>
        <bgColor indexed="64"/>
      </patternFill>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s>
  <borders count="96">
    <border>
      <left/>
      <right/>
      <top/>
      <bottom/>
      <diagonal/>
    </border>
    <border>
      <left style="hair">
        <color indexed="64"/>
      </left>
      <right style="hair">
        <color indexed="64"/>
      </right>
      <top/>
      <bottom style="hair">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diagonal/>
    </border>
    <border>
      <left/>
      <right/>
      <top style="hair">
        <color indexed="64"/>
      </top>
      <bottom style="hair">
        <color indexed="64"/>
      </bottom>
      <diagonal/>
    </border>
    <border>
      <left/>
      <right/>
      <top style="hair">
        <color indexed="64"/>
      </top>
      <bottom/>
      <diagonal/>
    </border>
    <border>
      <left/>
      <right/>
      <top/>
      <bottom style="hair">
        <color indexed="64"/>
      </bottom>
      <diagonal/>
    </border>
    <border>
      <left style="hair">
        <color indexed="64"/>
      </left>
      <right style="hair">
        <color indexed="64"/>
      </right>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indexed="64"/>
      </left>
      <right/>
      <top/>
      <bottom style="medium">
        <color indexed="64"/>
      </bottom>
      <diagonal/>
    </border>
    <border>
      <left style="dashed">
        <color indexed="64"/>
      </left>
      <right/>
      <top/>
      <bottom style="medium">
        <color indexed="64"/>
      </bottom>
      <diagonal/>
    </border>
    <border>
      <left/>
      <right/>
      <top/>
      <bottom style="medium">
        <color indexed="64"/>
      </bottom>
      <diagonal/>
    </border>
    <border>
      <left style="thin">
        <color indexed="64"/>
      </left>
      <right/>
      <top/>
      <bottom style="thin">
        <color indexed="64"/>
      </bottom>
      <diagonal/>
    </border>
    <border>
      <left style="dashed">
        <color indexed="64"/>
      </left>
      <right/>
      <top/>
      <bottom style="thin">
        <color indexed="64"/>
      </bottom>
      <diagonal/>
    </border>
    <border>
      <left style="medium">
        <color indexed="64"/>
      </left>
      <right/>
      <top style="medium">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dashed">
        <color indexed="64"/>
      </left>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top/>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style="medium">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style="thin">
        <color indexed="64"/>
      </right>
      <top/>
      <bottom style="thin">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hair">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top style="medium">
        <color indexed="64"/>
      </top>
      <bottom/>
      <diagonal/>
    </border>
    <border>
      <left/>
      <right style="hair">
        <color indexed="64"/>
      </right>
      <top style="medium">
        <color indexed="64"/>
      </top>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right/>
      <top style="hair">
        <color indexed="64"/>
      </top>
      <bottom style="medium">
        <color indexed="64"/>
      </bottom>
      <diagonal/>
    </border>
    <border>
      <left/>
      <right/>
      <top style="medium">
        <color indexed="64"/>
      </top>
      <bottom style="hair">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right style="thin">
        <color indexed="64"/>
      </right>
      <top/>
      <bottom/>
      <diagonal/>
    </border>
  </borders>
  <cellStyleXfs count="4">
    <xf numFmtId="0" fontId="0" fillId="0" borderId="0"/>
    <xf numFmtId="38" fontId="2" fillId="0" borderId="0" applyFont="0" applyFill="0" applyBorder="0" applyAlignment="0" applyProtection="0"/>
    <xf numFmtId="6" fontId="2" fillId="0" borderId="0" applyFont="0" applyFill="0" applyBorder="0" applyAlignment="0" applyProtection="0"/>
    <xf numFmtId="0" fontId="3" fillId="0" borderId="0"/>
  </cellStyleXfs>
  <cellXfs count="272">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0" fillId="0" borderId="12" xfId="0" applyBorder="1" applyAlignment="1">
      <alignment horizontal="center"/>
    </xf>
    <xf numFmtId="0" fontId="0" fillId="0" borderId="13" xfId="0" applyBorder="1"/>
    <xf numFmtId="0" fontId="10" fillId="2" borderId="8" xfId="0" applyFont="1" applyFill="1" applyBorder="1"/>
    <xf numFmtId="0" fontId="0" fillId="2" borderId="6" xfId="0" applyFill="1" applyBorder="1" applyAlignment="1">
      <alignment horizontal="centerContinuous"/>
    </xf>
    <xf numFmtId="0" fontId="0" fillId="2" borderId="10" xfId="0" applyFill="1" applyBorder="1" applyAlignment="1">
      <alignment horizontal="centerContinuous"/>
    </xf>
    <xf numFmtId="0" fontId="0" fillId="2" borderId="7" xfId="0" applyFill="1" applyBorder="1" applyAlignment="1">
      <alignment horizontal="centerContinuous"/>
    </xf>
    <xf numFmtId="0" fontId="0" fillId="2" borderId="1" xfId="0" applyFill="1" applyBorder="1"/>
    <xf numFmtId="0" fontId="0" fillId="2" borderId="5" xfId="0" applyFill="1" applyBorder="1"/>
    <xf numFmtId="0" fontId="0" fillId="0" borderId="6" xfId="0" applyBorder="1" applyAlignment="1">
      <alignment horizontal="centerContinuous"/>
    </xf>
    <xf numFmtId="0" fontId="0" fillId="0" borderId="10" xfId="0" applyBorder="1" applyAlignment="1">
      <alignment horizontal="centerContinuous"/>
    </xf>
    <xf numFmtId="0" fontId="0" fillId="0" borderId="7" xfId="0" applyBorder="1" applyAlignment="1">
      <alignment horizontal="centerContinuous"/>
    </xf>
    <xf numFmtId="0" fontId="13" fillId="0" borderId="0" xfId="0" applyFont="1" applyAlignment="1">
      <alignment vertical="center"/>
    </xf>
    <xf numFmtId="0" fontId="0" fillId="3" borderId="0" xfId="0" applyFill="1"/>
    <xf numFmtId="0" fontId="0" fillId="0" borderId="0" xfId="0" applyProtection="1">
      <protection locked="0"/>
    </xf>
    <xf numFmtId="0" fontId="0" fillId="0" borderId="1" xfId="0" applyBorder="1" applyProtection="1">
      <protection locked="0"/>
    </xf>
    <xf numFmtId="0" fontId="0" fillId="0" borderId="14" xfId="0" applyBorder="1" applyProtection="1">
      <protection locked="0"/>
    </xf>
    <xf numFmtId="0" fontId="0" fillId="0" borderId="15" xfId="0" applyBorder="1" applyProtection="1">
      <protection locked="0"/>
    </xf>
    <xf numFmtId="0" fontId="0" fillId="0" borderId="13" xfId="0" applyBorder="1" applyProtection="1">
      <protection locked="0"/>
    </xf>
    <xf numFmtId="0" fontId="0" fillId="0" borderId="3" xfId="0" applyBorder="1" applyProtection="1">
      <protection locked="0"/>
    </xf>
    <xf numFmtId="0" fontId="0" fillId="0" borderId="5" xfId="0" applyBorder="1" applyProtection="1">
      <protection locked="0"/>
    </xf>
    <xf numFmtId="22" fontId="12" fillId="0" borderId="0" xfId="0" applyNumberFormat="1" applyFont="1"/>
    <xf numFmtId="1" fontId="14" fillId="3" borderId="0" xfId="0" applyNumberFormat="1" applyFont="1" applyFill="1"/>
    <xf numFmtId="0" fontId="12" fillId="0" borderId="0" xfId="0" applyFont="1"/>
    <xf numFmtId="0" fontId="12" fillId="0" borderId="0" xfId="0" applyFont="1" applyAlignment="1">
      <alignment horizontal="right"/>
    </xf>
    <xf numFmtId="0" fontId="11" fillId="4" borderId="16" xfId="0" applyFont="1" applyFill="1" applyBorder="1"/>
    <xf numFmtId="0" fontId="11" fillId="4" borderId="17" xfId="0" applyFont="1" applyFill="1" applyBorder="1"/>
    <xf numFmtId="0" fontId="11" fillId="4" borderId="18" xfId="0" applyFont="1" applyFill="1" applyBorder="1"/>
    <xf numFmtId="0" fontId="15" fillId="4" borderId="17" xfId="0" applyFont="1" applyFill="1" applyBorder="1"/>
    <xf numFmtId="0" fontId="12" fillId="4" borderId="17" xfId="0" applyFont="1" applyFill="1" applyBorder="1"/>
    <xf numFmtId="0" fontId="16" fillId="4" borderId="19" xfId="0" applyFont="1" applyFill="1" applyBorder="1" applyAlignment="1">
      <alignment horizontal="center"/>
    </xf>
    <xf numFmtId="0" fontId="16" fillId="4" borderId="20" xfId="0" applyFont="1" applyFill="1" applyBorder="1" applyAlignment="1">
      <alignment horizontal="center"/>
    </xf>
    <xf numFmtId="0" fontId="12" fillId="4" borderId="21" xfId="0" applyFont="1" applyFill="1" applyBorder="1" applyAlignment="1">
      <alignment horizontal="center"/>
    </xf>
    <xf numFmtId="0" fontId="12" fillId="4" borderId="22" xfId="0" applyFont="1" applyFill="1" applyBorder="1" applyAlignment="1">
      <alignment horizontal="center"/>
    </xf>
    <xf numFmtId="0" fontId="12" fillId="4" borderId="23" xfId="0" applyFont="1" applyFill="1" applyBorder="1" applyAlignment="1">
      <alignment horizontal="centerContinuous"/>
    </xf>
    <xf numFmtId="0" fontId="12" fillId="4" borderId="22" xfId="0" applyFont="1" applyFill="1" applyBorder="1" applyAlignment="1">
      <alignment horizontal="centerContinuous"/>
    </xf>
    <xf numFmtId="0" fontId="12" fillId="4" borderId="23" xfId="0" applyFont="1" applyFill="1" applyBorder="1" applyAlignment="1">
      <alignment horizontal="center"/>
    </xf>
    <xf numFmtId="0" fontId="12" fillId="4" borderId="24" xfId="0" applyFont="1" applyFill="1" applyBorder="1"/>
    <xf numFmtId="0" fontId="12" fillId="4" borderId="25" xfId="0" applyFont="1" applyFill="1" applyBorder="1"/>
    <xf numFmtId="0" fontId="12" fillId="4" borderId="26" xfId="0" applyFont="1" applyFill="1" applyBorder="1"/>
    <xf numFmtId="0" fontId="12" fillId="4" borderId="27" xfId="0" applyFont="1" applyFill="1" applyBorder="1" applyAlignment="1">
      <alignment horizontal="center"/>
    </xf>
    <xf numFmtId="0" fontId="12" fillId="4" borderId="28" xfId="0" applyFont="1" applyFill="1" applyBorder="1" applyAlignment="1">
      <alignment horizontal="center"/>
    </xf>
    <xf numFmtId="0" fontId="12" fillId="4" borderId="29" xfId="0" applyFont="1" applyFill="1" applyBorder="1" applyAlignment="1">
      <alignment horizontal="center"/>
    </xf>
    <xf numFmtId="0" fontId="12" fillId="4" borderId="28" xfId="0" applyFont="1" applyFill="1" applyBorder="1"/>
    <xf numFmtId="0" fontId="12" fillId="4" borderId="30" xfId="0" applyFont="1" applyFill="1" applyBorder="1"/>
    <xf numFmtId="0" fontId="12" fillId="3" borderId="31" xfId="0" applyFont="1" applyFill="1" applyBorder="1" applyAlignment="1">
      <alignment horizontal="right"/>
    </xf>
    <xf numFmtId="178" fontId="12" fillId="3" borderId="32" xfId="0" applyNumberFormat="1" applyFont="1" applyFill="1" applyBorder="1" applyAlignment="1">
      <alignment horizontal="right"/>
    </xf>
    <xf numFmtId="0" fontId="16" fillId="4" borderId="33" xfId="0" applyFont="1" applyFill="1" applyBorder="1" applyAlignment="1">
      <alignment horizontal="right"/>
    </xf>
    <xf numFmtId="0" fontId="12" fillId="4" borderId="23" xfId="0" applyFont="1" applyFill="1" applyBorder="1"/>
    <xf numFmtId="0" fontId="12" fillId="4" borderId="22" xfId="0" applyFont="1" applyFill="1" applyBorder="1"/>
    <xf numFmtId="1" fontId="12" fillId="3" borderId="23" xfId="0" applyNumberFormat="1" applyFont="1" applyFill="1" applyBorder="1"/>
    <xf numFmtId="0" fontId="16" fillId="4" borderId="27" xfId="0" applyFont="1" applyFill="1" applyBorder="1" applyAlignment="1">
      <alignment horizontal="right"/>
    </xf>
    <xf numFmtId="0" fontId="12" fillId="4" borderId="34" xfId="0" applyFont="1" applyFill="1" applyBorder="1"/>
    <xf numFmtId="0" fontId="12" fillId="4" borderId="35" xfId="0" applyFont="1" applyFill="1" applyBorder="1"/>
    <xf numFmtId="0" fontId="12" fillId="3" borderId="30" xfId="0" applyFont="1" applyFill="1" applyBorder="1"/>
    <xf numFmtId="178" fontId="12" fillId="3" borderId="30" xfId="0" applyNumberFormat="1" applyFont="1" applyFill="1" applyBorder="1"/>
    <xf numFmtId="0" fontId="19" fillId="0" borderId="0" xfId="0" applyFont="1"/>
    <xf numFmtId="0" fontId="10" fillId="2" borderId="6" xfId="0" applyFont="1" applyFill="1" applyBorder="1"/>
    <xf numFmtId="0" fontId="10" fillId="2" borderId="7" xfId="0" applyFont="1" applyFill="1" applyBorder="1"/>
    <xf numFmtId="0" fontId="10" fillId="2" borderId="10" xfId="0" applyFont="1" applyFill="1" applyBorder="1"/>
    <xf numFmtId="0" fontId="17" fillId="0" borderId="18" xfId="0" applyFont="1" applyBorder="1"/>
    <xf numFmtId="0" fontId="17" fillId="0" borderId="28" xfId="0" applyFont="1" applyBorder="1"/>
    <xf numFmtId="0" fontId="12" fillId="0" borderId="36" xfId="0" applyFont="1" applyBorder="1"/>
    <xf numFmtId="176" fontId="20" fillId="3" borderId="37" xfId="0" applyNumberFormat="1" applyFont="1" applyFill="1" applyBorder="1"/>
    <xf numFmtId="177" fontId="20" fillId="3" borderId="31" xfId="0" applyNumberFormat="1" applyFont="1" applyFill="1" applyBorder="1"/>
    <xf numFmtId="176" fontId="21" fillId="3" borderId="37" xfId="0" applyNumberFormat="1" applyFont="1" applyFill="1" applyBorder="1"/>
    <xf numFmtId="177" fontId="21" fillId="3" borderId="31" xfId="0" applyNumberFormat="1" applyFont="1" applyFill="1" applyBorder="1"/>
    <xf numFmtId="0" fontId="12" fillId="4" borderId="24" xfId="0" applyFont="1" applyFill="1" applyBorder="1" applyAlignment="1">
      <alignment horizontal="center"/>
    </xf>
    <xf numFmtId="0" fontId="12" fillId="4" borderId="38" xfId="0" applyFont="1" applyFill="1" applyBorder="1"/>
    <xf numFmtId="0" fontId="12" fillId="4" borderId="39" xfId="0" applyFont="1" applyFill="1" applyBorder="1"/>
    <xf numFmtId="0" fontId="12" fillId="0" borderId="40" xfId="0" applyFont="1" applyBorder="1" applyAlignment="1">
      <alignment vertical="center"/>
    </xf>
    <xf numFmtId="0" fontId="12" fillId="3" borderId="34" xfId="0" applyFont="1" applyFill="1" applyBorder="1"/>
    <xf numFmtId="0" fontId="12" fillId="3" borderId="24" xfId="0" applyFont="1" applyFill="1" applyBorder="1"/>
    <xf numFmtId="0" fontId="12" fillId="3" borderId="23" xfId="0" applyFont="1" applyFill="1" applyBorder="1"/>
    <xf numFmtId="0" fontId="24" fillId="0" borderId="0" xfId="0" applyFont="1"/>
    <xf numFmtId="0" fontId="8" fillId="4" borderId="41" xfId="0" applyFont="1" applyFill="1" applyBorder="1"/>
    <xf numFmtId="0" fontId="5" fillId="4" borderId="25" xfId="0" applyFont="1" applyFill="1" applyBorder="1"/>
    <xf numFmtId="0" fontId="5" fillId="4" borderId="26" xfId="0" applyFont="1" applyFill="1" applyBorder="1" applyAlignment="1">
      <alignment horizontal="right"/>
    </xf>
    <xf numFmtId="180" fontId="12" fillId="0" borderId="28" xfId="0" applyNumberFormat="1" applyFont="1" applyBorder="1"/>
    <xf numFmtId="178" fontId="12" fillId="0" borderId="30" xfId="0" applyNumberFormat="1" applyFont="1" applyBorder="1"/>
    <xf numFmtId="0" fontId="16" fillId="4" borderId="42" xfId="0" applyFont="1" applyFill="1" applyBorder="1" applyAlignment="1">
      <alignment horizontal="centerContinuous"/>
    </xf>
    <xf numFmtId="0" fontId="16" fillId="4" borderId="43" xfId="0" applyFont="1" applyFill="1" applyBorder="1" applyAlignment="1">
      <alignment horizontal="centerContinuous"/>
    </xf>
    <xf numFmtId="0" fontId="16" fillId="4" borderId="40" xfId="0" applyFont="1" applyFill="1" applyBorder="1" applyAlignment="1">
      <alignment horizontal="center"/>
    </xf>
    <xf numFmtId="0" fontId="16" fillId="4" borderId="42" xfId="0" applyFont="1" applyFill="1" applyBorder="1" applyAlignment="1">
      <alignment horizontal="center"/>
    </xf>
    <xf numFmtId="0" fontId="16" fillId="4" borderId="44" xfId="0" applyFont="1" applyFill="1" applyBorder="1" applyAlignment="1">
      <alignment horizontal="center"/>
    </xf>
    <xf numFmtId="178" fontId="25" fillId="0" borderId="0" xfId="0" applyNumberFormat="1" applyFont="1" applyAlignment="1">
      <alignment horizontal="right"/>
    </xf>
    <xf numFmtId="0" fontId="0" fillId="0" borderId="40" xfId="0" applyBorder="1"/>
    <xf numFmtId="0" fontId="0" fillId="0" borderId="45" xfId="0" applyBorder="1"/>
    <xf numFmtId="0" fontId="0" fillId="0" borderId="46" xfId="0" applyBorder="1"/>
    <xf numFmtId="0" fontId="0" fillId="0" borderId="47" xfId="0" applyBorder="1"/>
    <xf numFmtId="0" fontId="0" fillId="0" borderId="40" xfId="0" applyBorder="1" applyProtection="1">
      <protection locked="0"/>
    </xf>
    <xf numFmtId="0" fontId="0" fillId="0" borderId="45" xfId="0" applyBorder="1" applyProtection="1">
      <protection locked="0"/>
    </xf>
    <xf numFmtId="0" fontId="0" fillId="0" borderId="46" xfId="0" applyBorder="1" applyProtection="1">
      <protection locked="0"/>
    </xf>
    <xf numFmtId="0" fontId="0" fillId="0" borderId="46" xfId="0" applyBorder="1" applyAlignment="1" applyProtection="1">
      <alignment wrapText="1"/>
      <protection locked="0"/>
    </xf>
    <xf numFmtId="0" fontId="24" fillId="0" borderId="48" xfId="0" applyFont="1" applyBorder="1" applyAlignment="1">
      <alignment horizontal="left"/>
    </xf>
    <xf numFmtId="0" fontId="0" fillId="0" borderId="49" xfId="0" applyBorder="1"/>
    <xf numFmtId="0" fontId="0" fillId="0" borderId="49" xfId="0" applyBorder="1" applyProtection="1">
      <protection locked="0"/>
    </xf>
    <xf numFmtId="0" fontId="0" fillId="0" borderId="47" xfId="0" applyBorder="1" applyAlignment="1" applyProtection="1">
      <alignment wrapText="1"/>
      <protection locked="0"/>
    </xf>
    <xf numFmtId="0" fontId="0" fillId="0" borderId="15" xfId="0" applyBorder="1"/>
    <xf numFmtId="0" fontId="3" fillId="0" borderId="0" xfId="3" applyAlignment="1">
      <alignment vertical="center"/>
    </xf>
    <xf numFmtId="0" fontId="14" fillId="0" borderId="0" xfId="3" applyFont="1" applyAlignment="1">
      <alignment vertical="center"/>
    </xf>
    <xf numFmtId="0" fontId="28" fillId="5" borderId="50" xfId="3" applyFont="1" applyFill="1" applyBorder="1" applyAlignment="1">
      <alignment horizontal="center" vertical="center"/>
    </xf>
    <xf numFmtId="0" fontId="28" fillId="5" borderId="51" xfId="3" applyFont="1" applyFill="1" applyBorder="1" applyAlignment="1">
      <alignment horizontal="center" vertical="center"/>
    </xf>
    <xf numFmtId="0" fontId="28" fillId="5" borderId="52" xfId="3" applyFont="1" applyFill="1" applyBorder="1" applyAlignment="1">
      <alignment horizontal="center" vertical="center"/>
    </xf>
    <xf numFmtId="6" fontId="3" fillId="0" borderId="0" xfId="3" applyNumberFormat="1" applyAlignment="1">
      <alignment vertical="center"/>
    </xf>
    <xf numFmtId="0" fontId="3" fillId="6" borderId="10" xfId="3" applyFill="1" applyBorder="1" applyAlignment="1">
      <alignment horizontal="center" vertical="center" wrapText="1"/>
    </xf>
    <xf numFmtId="0" fontId="8" fillId="0" borderId="53" xfId="3" applyFont="1" applyBorder="1" applyAlignment="1" applyProtection="1">
      <alignment horizontal="left" vertical="center" wrapText="1"/>
      <protection locked="0"/>
    </xf>
    <xf numFmtId="181" fontId="3" fillId="0" borderId="54" xfId="3" applyNumberFormat="1" applyBorder="1" applyAlignment="1" applyProtection="1">
      <alignment vertical="center"/>
      <protection locked="0"/>
    </xf>
    <xf numFmtId="0" fontId="8" fillId="0" borderId="8" xfId="3" applyFont="1" applyBorder="1" applyAlignment="1" applyProtection="1">
      <alignment horizontal="left" vertical="center" wrapText="1"/>
      <protection locked="0"/>
    </xf>
    <xf numFmtId="0" fontId="3" fillId="0" borderId="6" xfId="3" applyBorder="1" applyAlignment="1" applyProtection="1">
      <alignment horizontal="left" vertical="center" wrapText="1"/>
      <protection locked="0"/>
    </xf>
    <xf numFmtId="0" fontId="3" fillId="0" borderId="8" xfId="3" applyBorder="1" applyAlignment="1" applyProtection="1">
      <alignment horizontal="left" vertical="center"/>
      <protection locked="0"/>
    </xf>
    <xf numFmtId="0" fontId="3" fillId="0" borderId="7" xfId="3" applyBorder="1" applyAlignment="1" applyProtection="1">
      <alignment horizontal="left" vertical="center" wrapText="1"/>
      <protection locked="0"/>
    </xf>
    <xf numFmtId="0" fontId="3" fillId="0" borderId="7" xfId="3" quotePrefix="1" applyBorder="1" applyAlignment="1" applyProtection="1">
      <alignment horizontal="left" vertical="center" wrapText="1"/>
      <protection locked="0"/>
    </xf>
    <xf numFmtId="0" fontId="12" fillId="4" borderId="55" xfId="0" applyFont="1" applyFill="1" applyBorder="1"/>
    <xf numFmtId="0" fontId="12" fillId="3" borderId="22" xfId="0" applyFont="1" applyFill="1" applyBorder="1"/>
    <xf numFmtId="181" fontId="3" fillId="0" borderId="56" xfId="3" applyNumberFormat="1" applyBorder="1" applyAlignment="1" applyProtection="1">
      <alignment vertical="center"/>
      <protection locked="0"/>
    </xf>
    <xf numFmtId="0" fontId="6" fillId="0" borderId="0" xfId="0" applyFont="1" applyAlignment="1">
      <alignment vertical="center"/>
    </xf>
    <xf numFmtId="0" fontId="6" fillId="0" borderId="40" xfId="0" applyFont="1" applyBorder="1" applyAlignment="1">
      <alignment vertical="center"/>
    </xf>
    <xf numFmtId="0" fontId="30" fillId="0" borderId="0" xfId="0" applyFont="1"/>
    <xf numFmtId="0" fontId="9" fillId="0" borderId="0" xfId="0" applyFont="1" applyAlignment="1">
      <alignment horizontal="center"/>
    </xf>
    <xf numFmtId="0" fontId="9" fillId="0" borderId="0" xfId="0" applyFont="1"/>
    <xf numFmtId="0" fontId="9" fillId="5" borderId="40" xfId="0" applyFont="1" applyFill="1" applyBorder="1"/>
    <xf numFmtId="0" fontId="31" fillId="0" borderId="0" xfId="0" applyFont="1"/>
    <xf numFmtId="0" fontId="9" fillId="0" borderId="16" xfId="0" applyFont="1" applyBorder="1" applyAlignment="1">
      <alignment horizontal="right"/>
    </xf>
    <xf numFmtId="0" fontId="9" fillId="0" borderId="57" xfId="0" applyFont="1" applyBorder="1"/>
    <xf numFmtId="0" fontId="9" fillId="0" borderId="57" xfId="0" applyFont="1" applyBorder="1" applyAlignment="1">
      <alignment horizontal="right"/>
    </xf>
    <xf numFmtId="0" fontId="9" fillId="0" borderId="58" xfId="0" applyFont="1" applyBorder="1"/>
    <xf numFmtId="183" fontId="9" fillId="0" borderId="59" xfId="0" applyNumberFormat="1" applyFont="1" applyBorder="1" applyProtection="1">
      <protection locked="0"/>
    </xf>
    <xf numFmtId="0" fontId="9" fillId="6" borderId="13" xfId="0" applyFont="1" applyFill="1" applyBorder="1"/>
    <xf numFmtId="0" fontId="9" fillId="0" borderId="60" xfId="0" applyFont="1" applyBorder="1" applyProtection="1">
      <protection locked="0"/>
    </xf>
    <xf numFmtId="183" fontId="9" fillId="0" borderId="61" xfId="0" applyNumberFormat="1" applyFont="1" applyBorder="1" applyProtection="1">
      <protection locked="0"/>
    </xf>
    <xf numFmtId="0" fontId="9" fillId="6" borderId="8" xfId="0" applyFont="1" applyFill="1" applyBorder="1"/>
    <xf numFmtId="0" fontId="9" fillId="0" borderId="8" xfId="0" applyFont="1" applyBorder="1" applyProtection="1">
      <protection locked="0"/>
    </xf>
    <xf numFmtId="0" fontId="9" fillId="0" borderId="62" xfId="0" applyFont="1" applyBorder="1" applyProtection="1">
      <protection locked="0"/>
    </xf>
    <xf numFmtId="183" fontId="9" fillId="0" borderId="63" xfId="0" applyNumberFormat="1" applyFont="1" applyBorder="1" applyProtection="1">
      <protection locked="0"/>
    </xf>
    <xf numFmtId="0" fontId="9" fillId="0" borderId="64" xfId="0" applyFont="1" applyBorder="1" applyProtection="1">
      <protection locked="0"/>
    </xf>
    <xf numFmtId="0" fontId="9" fillId="6" borderId="64" xfId="0" applyFont="1" applyFill="1" applyBorder="1"/>
    <xf numFmtId="0" fontId="9" fillId="0" borderId="41" xfId="0" applyFont="1" applyBorder="1" applyProtection="1">
      <protection locked="0"/>
    </xf>
    <xf numFmtId="0" fontId="33" fillId="0" borderId="0" xfId="0" applyFont="1" applyAlignment="1">
      <alignment horizontal="left"/>
    </xf>
    <xf numFmtId="183" fontId="9" fillId="0" borderId="65" xfId="0" applyNumberFormat="1" applyFont="1" applyBorder="1" applyProtection="1">
      <protection locked="0"/>
    </xf>
    <xf numFmtId="0" fontId="9" fillId="0" borderId="66" xfId="0" applyFont="1" applyBorder="1" applyProtection="1">
      <protection locked="0"/>
    </xf>
    <xf numFmtId="0" fontId="1" fillId="0" borderId="0" xfId="0" applyFont="1"/>
    <xf numFmtId="0" fontId="0" fillId="0" borderId="0" xfId="0" applyAlignment="1">
      <alignment horizontal="right"/>
    </xf>
    <xf numFmtId="0" fontId="3" fillId="0" borderId="0" xfId="3" applyAlignment="1">
      <alignment horizontal="right" vertical="center"/>
    </xf>
    <xf numFmtId="0" fontId="32" fillId="0" borderId="67" xfId="0" applyFont="1" applyBorder="1" applyAlignment="1">
      <alignment horizontal="center" vertical="center"/>
    </xf>
    <xf numFmtId="0" fontId="2" fillId="0" borderId="40" xfId="0" applyFont="1" applyBorder="1"/>
    <xf numFmtId="0" fontId="0" fillId="0" borderId="49" xfId="0" applyBorder="1" applyAlignment="1" applyProtection="1">
      <alignment shrinkToFit="1"/>
      <protection locked="0"/>
    </xf>
    <xf numFmtId="0" fontId="9" fillId="0" borderId="30" xfId="0" applyFont="1" applyBorder="1"/>
    <xf numFmtId="0" fontId="9" fillId="0" borderId="30" xfId="0" applyFont="1" applyBorder="1" applyProtection="1">
      <protection locked="0"/>
    </xf>
    <xf numFmtId="185" fontId="9" fillId="0" borderId="30" xfId="0" applyNumberFormat="1" applyFont="1" applyBorder="1" applyProtection="1">
      <protection locked="0"/>
    </xf>
    <xf numFmtId="184" fontId="9" fillId="0" borderId="30" xfId="0" applyNumberFormat="1" applyFont="1" applyBorder="1" applyProtection="1">
      <protection locked="0"/>
    </xf>
    <xf numFmtId="0" fontId="3" fillId="0" borderId="68" xfId="3" applyBorder="1" applyAlignment="1" applyProtection="1">
      <alignment horizontal="left" vertical="center" wrapText="1"/>
      <protection locked="0"/>
    </xf>
    <xf numFmtId="0" fontId="3" fillId="0" borderId="69" xfId="3" applyBorder="1" applyAlignment="1" applyProtection="1">
      <alignment horizontal="left" vertical="center" wrapText="1"/>
      <protection locked="0"/>
    </xf>
    <xf numFmtId="0" fontId="37" fillId="0" borderId="0" xfId="0" applyFont="1" applyProtection="1">
      <protection locked="0"/>
    </xf>
    <xf numFmtId="0" fontId="9" fillId="5" borderId="40" xfId="0" applyFont="1" applyFill="1" applyBorder="1" applyAlignment="1">
      <alignment horizontal="center" vertical="center"/>
    </xf>
    <xf numFmtId="0" fontId="9" fillId="6" borderId="18" xfId="0" applyFont="1" applyFill="1" applyBorder="1"/>
    <xf numFmtId="0" fontId="9" fillId="6" borderId="70" xfId="0" applyFont="1" applyFill="1" applyBorder="1"/>
    <xf numFmtId="0" fontId="9" fillId="6" borderId="71" xfId="0" applyFont="1" applyFill="1" applyBorder="1"/>
    <xf numFmtId="0" fontId="3" fillId="0" borderId="8" xfId="1" applyNumberFormat="1" applyFont="1" applyBorder="1" applyAlignment="1" applyProtection="1">
      <alignment vertical="center"/>
      <protection locked="0"/>
    </xf>
    <xf numFmtId="0" fontId="3" fillId="0" borderId="53" xfId="1" applyNumberFormat="1" applyFont="1" applyBorder="1" applyAlignment="1" applyProtection="1">
      <alignment vertical="center"/>
      <protection locked="0"/>
    </xf>
    <xf numFmtId="0" fontId="3" fillId="6" borderId="72" xfId="1" applyNumberFormat="1" applyFont="1" applyFill="1" applyBorder="1" applyAlignment="1">
      <alignment vertical="center"/>
    </xf>
    <xf numFmtId="0" fontId="0" fillId="0" borderId="8" xfId="0" applyBorder="1" applyProtection="1">
      <protection locked="0"/>
    </xf>
    <xf numFmtId="0" fontId="6" fillId="0" borderId="0" xfId="0" applyFont="1" applyAlignment="1">
      <alignment horizontal="right" vertical="center"/>
    </xf>
    <xf numFmtId="0" fontId="9" fillId="0" borderId="17" xfId="0" applyFont="1" applyBorder="1"/>
    <xf numFmtId="0" fontId="9" fillId="0" borderId="5" xfId="0" applyFont="1" applyBorder="1" applyProtection="1">
      <protection locked="0"/>
    </xf>
    <xf numFmtId="0" fontId="9" fillId="0" borderId="70" xfId="0" applyFont="1" applyBorder="1" applyProtection="1">
      <protection locked="0"/>
    </xf>
    <xf numFmtId="185" fontId="9" fillId="0" borderId="26" xfId="0" applyNumberFormat="1" applyFont="1" applyBorder="1"/>
    <xf numFmtId="183" fontId="9" fillId="0" borderId="25" xfId="0" applyNumberFormat="1" applyFont="1" applyBorder="1"/>
    <xf numFmtId="0" fontId="9" fillId="0" borderId="25" xfId="0" applyFont="1" applyBorder="1"/>
    <xf numFmtId="185" fontId="9" fillId="0" borderId="0" xfId="0" applyNumberFormat="1" applyFont="1"/>
    <xf numFmtId="0" fontId="12" fillId="7" borderId="0" xfId="0" applyFont="1" applyFill="1"/>
    <xf numFmtId="0" fontId="6" fillId="7" borderId="0" xfId="0" applyFont="1" applyFill="1"/>
    <xf numFmtId="0" fontId="6" fillId="0" borderId="0" xfId="0" applyFont="1"/>
    <xf numFmtId="0" fontId="6" fillId="0" borderId="0" xfId="0" applyFont="1" applyAlignment="1">
      <alignment horizontal="right"/>
    </xf>
    <xf numFmtId="182" fontId="12" fillId="7" borderId="0" xfId="0" applyNumberFormat="1" applyFont="1" applyFill="1"/>
    <xf numFmtId="0" fontId="6" fillId="0" borderId="31" xfId="0" applyFont="1" applyBorder="1" applyAlignment="1" applyProtection="1">
      <alignment horizontal="right"/>
      <protection locked="0"/>
    </xf>
    <xf numFmtId="178" fontId="6" fillId="0" borderId="31" xfId="0" applyNumberFormat="1" applyFont="1" applyBorder="1" applyAlignment="1" applyProtection="1">
      <alignment horizontal="right"/>
      <protection locked="0"/>
    </xf>
    <xf numFmtId="49" fontId="6" fillId="0" borderId="31" xfId="0" applyNumberFormat="1" applyFont="1" applyBorder="1" applyAlignment="1" applyProtection="1">
      <alignment horizontal="right"/>
      <protection locked="0"/>
    </xf>
    <xf numFmtId="0" fontId="6" fillId="0" borderId="31" xfId="0" applyFont="1" applyBorder="1" applyAlignment="1" applyProtection="1">
      <alignment horizontal="center"/>
      <protection locked="0"/>
    </xf>
    <xf numFmtId="179" fontId="0" fillId="0" borderId="73" xfId="0" applyNumberFormat="1" applyBorder="1" applyProtection="1">
      <protection locked="0"/>
    </xf>
    <xf numFmtId="179" fontId="0" fillId="0" borderId="74" xfId="0" applyNumberFormat="1" applyBorder="1" applyProtection="1">
      <protection locked="0"/>
    </xf>
    <xf numFmtId="179" fontId="0" fillId="0" borderId="75" xfId="0" applyNumberFormat="1" applyBorder="1" applyProtection="1">
      <protection locked="0"/>
    </xf>
    <xf numFmtId="0" fontId="7" fillId="0" borderId="40" xfId="0" applyFont="1" applyBorder="1" applyAlignment="1" applyProtection="1">
      <alignment vertical="center"/>
      <protection locked="0"/>
    </xf>
    <xf numFmtId="0" fontId="7" fillId="0" borderId="76" xfId="0" applyFont="1" applyBorder="1" applyAlignment="1" applyProtection="1">
      <alignment vertical="center"/>
      <protection locked="0"/>
    </xf>
    <xf numFmtId="0" fontId="5" fillId="0" borderId="40" xfId="0" applyFont="1" applyBorder="1" applyProtection="1">
      <protection locked="0"/>
    </xf>
    <xf numFmtId="178" fontId="16" fillId="0" borderId="40" xfId="0" applyNumberFormat="1" applyFont="1" applyBorder="1" applyProtection="1">
      <protection locked="0"/>
    </xf>
    <xf numFmtId="0" fontId="16" fillId="0" borderId="40" xfId="0" applyFont="1" applyBorder="1" applyProtection="1">
      <protection locked="0"/>
    </xf>
    <xf numFmtId="49" fontId="5" fillId="0" borderId="31" xfId="0" applyNumberFormat="1" applyFont="1" applyBorder="1" applyAlignment="1" applyProtection="1">
      <alignment horizontal="right"/>
      <protection locked="0"/>
    </xf>
    <xf numFmtId="0" fontId="7" fillId="0" borderId="67" xfId="0" applyFont="1" applyBorder="1" applyAlignment="1" applyProtection="1">
      <alignment vertical="center"/>
      <protection locked="0"/>
    </xf>
    <xf numFmtId="0" fontId="6" fillId="4" borderId="30" xfId="0" applyFont="1" applyFill="1" applyBorder="1"/>
    <xf numFmtId="0" fontId="0" fillId="0" borderId="6" xfId="0" applyBorder="1" applyProtection="1">
      <protection locked="0"/>
    </xf>
    <xf numFmtId="0" fontId="0" fillId="0" borderId="10" xfId="0" applyBorder="1" applyProtection="1">
      <protection locked="0"/>
    </xf>
    <xf numFmtId="0" fontId="0" fillId="0" borderId="7" xfId="0" applyBorder="1" applyProtection="1">
      <protection locked="0"/>
    </xf>
    <xf numFmtId="0" fontId="5" fillId="0" borderId="42" xfId="0" applyFont="1" applyBorder="1" applyProtection="1">
      <protection locked="0"/>
    </xf>
    <xf numFmtId="0" fontId="5" fillId="0" borderId="43" xfId="0" applyFont="1" applyBorder="1" applyProtection="1">
      <protection locked="0"/>
    </xf>
    <xf numFmtId="0" fontId="5" fillId="0" borderId="52" xfId="0" applyFont="1" applyBorder="1" applyProtection="1">
      <protection locked="0"/>
    </xf>
    <xf numFmtId="0" fontId="5" fillId="0" borderId="77" xfId="0" applyFont="1" applyBorder="1" applyAlignment="1">
      <alignment vertical="center" wrapText="1"/>
    </xf>
    <xf numFmtId="0" fontId="0" fillId="0" borderId="78" xfId="0" applyBorder="1" applyAlignment="1">
      <alignment vertical="center"/>
    </xf>
    <xf numFmtId="0" fontId="0" fillId="0" borderId="31" xfId="0" applyBorder="1" applyAlignment="1">
      <alignment vertical="center"/>
    </xf>
    <xf numFmtId="0" fontId="0" fillId="0" borderId="76" xfId="0" applyBorder="1" applyAlignment="1">
      <alignment vertical="center"/>
    </xf>
    <xf numFmtId="0" fontId="35" fillId="3" borderId="16" xfId="0" applyFont="1" applyFill="1" applyBorder="1"/>
    <xf numFmtId="0" fontId="36" fillId="0" borderId="17" xfId="0" applyFont="1" applyBorder="1"/>
    <xf numFmtId="0" fontId="36" fillId="0" borderId="58" xfId="0" applyFont="1" applyBorder="1"/>
    <xf numFmtId="0" fontId="18" fillId="3" borderId="16" xfId="0" applyFont="1" applyFill="1" applyBorder="1"/>
    <xf numFmtId="0" fontId="0" fillId="0" borderId="17" xfId="0" applyBorder="1"/>
    <xf numFmtId="0" fontId="0" fillId="0" borderId="79" xfId="0" applyBorder="1"/>
    <xf numFmtId="0" fontId="23" fillId="3" borderId="16" xfId="0" applyFont="1" applyFill="1" applyBorder="1"/>
    <xf numFmtId="0" fontId="23" fillId="3" borderId="17" xfId="0" applyFont="1" applyFill="1" applyBorder="1"/>
    <xf numFmtId="0" fontId="23" fillId="3" borderId="58" xfId="0" applyFont="1" applyFill="1" applyBorder="1"/>
    <xf numFmtId="0" fontId="9" fillId="0" borderId="6" xfId="0" applyFont="1" applyBorder="1" applyProtection="1">
      <protection locked="0"/>
    </xf>
    <xf numFmtId="0" fontId="9" fillId="0" borderId="7" xfId="0" applyFont="1" applyBorder="1" applyProtection="1">
      <protection locked="0"/>
    </xf>
    <xf numFmtId="0" fontId="9" fillId="0" borderId="9" xfId="0" applyFont="1" applyBorder="1" applyProtection="1">
      <protection locked="0"/>
    </xf>
    <xf numFmtId="0" fontId="0" fillId="0" borderId="15" xfId="0" applyBorder="1" applyProtection="1">
      <protection locked="0"/>
    </xf>
    <xf numFmtId="0" fontId="9" fillId="0" borderId="80" xfId="0" applyFont="1" applyBorder="1"/>
    <xf numFmtId="0" fontId="0" fillId="0" borderId="81" xfId="0" applyBorder="1"/>
    <xf numFmtId="0" fontId="9" fillId="0" borderId="82" xfId="0" applyFont="1" applyBorder="1" applyProtection="1">
      <protection locked="0"/>
    </xf>
    <xf numFmtId="0" fontId="0" fillId="0" borderId="83" xfId="0" applyBorder="1" applyProtection="1">
      <protection locked="0"/>
    </xf>
    <xf numFmtId="0" fontId="9" fillId="0" borderId="81" xfId="0" applyFont="1" applyBorder="1"/>
    <xf numFmtId="186" fontId="31" fillId="0" borderId="16" xfId="0" applyNumberFormat="1" applyFont="1" applyBorder="1" applyAlignment="1">
      <alignment horizontal="center" vertical="center"/>
    </xf>
    <xf numFmtId="0" fontId="4" fillId="0" borderId="58" xfId="0" applyFont="1" applyBorder="1" applyAlignment="1">
      <alignment horizontal="center" vertical="center"/>
    </xf>
    <xf numFmtId="0" fontId="9" fillId="0" borderId="84" xfId="0" applyFont="1" applyBorder="1" applyProtection="1">
      <protection locked="0"/>
    </xf>
    <xf numFmtId="0" fontId="9" fillId="0" borderId="85" xfId="0" applyFont="1" applyBorder="1" applyProtection="1">
      <protection locked="0"/>
    </xf>
    <xf numFmtId="0" fontId="9" fillId="0" borderId="86" xfId="0" applyFont="1" applyBorder="1" applyProtection="1">
      <protection locked="0"/>
    </xf>
    <xf numFmtId="0" fontId="0" fillId="0" borderId="87" xfId="0" applyBorder="1" applyProtection="1">
      <protection locked="0"/>
    </xf>
    <xf numFmtId="0" fontId="9" fillId="0" borderId="16" xfId="0" applyFont="1" applyBorder="1"/>
    <xf numFmtId="0" fontId="9" fillId="0" borderId="17" xfId="0" applyFont="1" applyBorder="1"/>
    <xf numFmtId="0" fontId="9" fillId="5" borderId="42" xfId="0" applyFont="1" applyFill="1" applyBorder="1"/>
    <xf numFmtId="0" fontId="9" fillId="5" borderId="43" xfId="0" applyFont="1" applyFill="1" applyBorder="1"/>
    <xf numFmtId="0" fontId="9" fillId="5" borderId="52" xfId="0" applyFont="1" applyFill="1" applyBorder="1"/>
    <xf numFmtId="0" fontId="2" fillId="0" borderId="42" xfId="0" applyFont="1" applyBorder="1"/>
    <xf numFmtId="0" fontId="2" fillId="0" borderId="43" xfId="0" applyFont="1" applyBorder="1"/>
    <xf numFmtId="0" fontId="2" fillId="0" borderId="52" xfId="0" applyFont="1" applyBorder="1"/>
    <xf numFmtId="0" fontId="9" fillId="6" borderId="6" xfId="0" applyFont="1" applyFill="1" applyBorder="1"/>
    <xf numFmtId="0" fontId="9" fillId="6" borderId="10" xfId="0" applyFont="1" applyFill="1" applyBorder="1"/>
    <xf numFmtId="0" fontId="9" fillId="6" borderId="7" xfId="0" applyFont="1" applyFill="1" applyBorder="1"/>
    <xf numFmtId="0" fontId="9" fillId="6" borderId="82" xfId="0" applyFont="1" applyFill="1" applyBorder="1"/>
    <xf numFmtId="0" fontId="9" fillId="6" borderId="88" xfId="0" applyFont="1" applyFill="1" applyBorder="1"/>
    <xf numFmtId="0" fontId="9" fillId="6" borderId="83" xfId="0" applyFont="1" applyFill="1" applyBorder="1"/>
    <xf numFmtId="0" fontId="9" fillId="0" borderId="83" xfId="0" applyFont="1" applyBorder="1" applyProtection="1">
      <protection locked="0"/>
    </xf>
    <xf numFmtId="0" fontId="9" fillId="6" borderId="86" xfId="0" applyFont="1" applyFill="1" applyBorder="1"/>
    <xf numFmtId="0" fontId="9" fillId="6" borderId="89" xfId="0" applyFont="1" applyFill="1" applyBorder="1"/>
    <xf numFmtId="0" fontId="9" fillId="6" borderId="87" xfId="0" applyFont="1" applyFill="1" applyBorder="1"/>
    <xf numFmtId="0" fontId="28" fillId="5" borderId="90" xfId="3" applyFont="1" applyFill="1" applyBorder="1" applyAlignment="1">
      <alignment horizontal="center" vertical="center"/>
    </xf>
    <xf numFmtId="0" fontId="28" fillId="5" borderId="43" xfId="3" applyFont="1" applyFill="1" applyBorder="1" applyAlignment="1">
      <alignment horizontal="center" vertical="center"/>
    </xf>
    <xf numFmtId="0" fontId="28" fillId="5" borderId="91" xfId="3" applyFont="1" applyFill="1" applyBorder="1" applyAlignment="1">
      <alignment horizontal="center" vertical="center"/>
    </xf>
    <xf numFmtId="56" fontId="29" fillId="0" borderId="92" xfId="3" applyNumberFormat="1" applyFont="1" applyBorder="1" applyAlignment="1">
      <alignment horizontal="center" vertical="center"/>
    </xf>
    <xf numFmtId="56" fontId="29" fillId="0" borderId="13" xfId="3" applyNumberFormat="1" applyFont="1" applyBorder="1" applyAlignment="1">
      <alignment horizontal="center" vertical="center"/>
    </xf>
    <xf numFmtId="56" fontId="29" fillId="0" borderId="93" xfId="3" applyNumberFormat="1" applyFont="1" applyBorder="1" applyAlignment="1">
      <alignment horizontal="center" vertical="center"/>
    </xf>
    <xf numFmtId="56" fontId="29" fillId="0" borderId="94" xfId="3" applyNumberFormat="1" applyFont="1" applyBorder="1" applyAlignment="1">
      <alignment horizontal="center" vertical="center"/>
    </xf>
    <xf numFmtId="0" fontId="3" fillId="6" borderId="95" xfId="2" applyNumberFormat="1" applyFont="1" applyFill="1" applyBorder="1" applyAlignment="1">
      <alignment vertical="center"/>
    </xf>
    <xf numFmtId="0" fontId="3" fillId="6" borderId="76" xfId="2" applyNumberFormat="1" applyFont="1" applyFill="1" applyBorder="1" applyAlignment="1">
      <alignment vertical="center"/>
    </xf>
    <xf numFmtId="0" fontId="3" fillId="6" borderId="14" xfId="1" applyNumberFormat="1" applyFont="1" applyFill="1" applyBorder="1" applyAlignment="1">
      <alignment vertical="center"/>
    </xf>
    <xf numFmtId="0" fontId="3" fillId="6" borderId="94" xfId="3" applyFill="1" applyBorder="1"/>
    <xf numFmtId="0" fontId="27" fillId="0" borderId="0" xfId="3" applyFont="1" applyAlignment="1">
      <alignment horizontal="center" vertical="center"/>
    </xf>
    <xf numFmtId="0" fontId="3" fillId="0" borderId="0" xfId="3" applyAlignment="1">
      <alignment vertical="center"/>
    </xf>
    <xf numFmtId="0" fontId="14" fillId="0" borderId="0" xfId="3" applyFont="1" applyAlignment="1">
      <alignment vertical="center"/>
    </xf>
    <xf numFmtId="0" fontId="3" fillId="0" borderId="0" xfId="3" applyAlignment="1" applyProtection="1">
      <alignment vertical="center"/>
      <protection locked="0"/>
    </xf>
    <xf numFmtId="177" fontId="20" fillId="3" borderId="28" xfId="0" applyNumberFormat="1" applyFont="1" applyFill="1" applyBorder="1"/>
  </cellXfs>
  <cellStyles count="4">
    <cellStyle name="桁区切り" xfId="1" builtinId="6"/>
    <cellStyle name="通貨" xfId="2" builtinId="7"/>
    <cellStyle name="標準" xfId="0" builtinId="0"/>
    <cellStyle name="標準_業務請求分 YYYYMM(氏名)" xfId="3" xr:uid="{0DED4A35-1B0C-4808-BDF4-58360C179FEC}"/>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15</xdr:row>
          <xdr:rowOff>0</xdr:rowOff>
        </xdr:from>
        <xdr:to>
          <xdr:col>4</xdr:col>
          <xdr:colOff>0</xdr:colOff>
          <xdr:row>16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土日 自動設定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休日出勤設定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76200</xdr:colOff>
          <xdr:row>1</xdr:row>
          <xdr:rowOff>144780</xdr:rowOff>
        </xdr:from>
        <xdr:to>
          <xdr:col>21</xdr:col>
          <xdr:colOff>495300</xdr:colOff>
          <xdr:row>2</xdr:row>
          <xdr:rowOff>259080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印刷する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83820</xdr:colOff>
          <xdr:row>4</xdr:row>
          <xdr:rowOff>99060</xdr:rowOff>
        </xdr:from>
        <xdr:to>
          <xdr:col>21</xdr:col>
          <xdr:colOff>510540</xdr:colOff>
          <xdr:row>5</xdr:row>
          <xdr:rowOff>144780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ロックの解除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83820</xdr:colOff>
          <xdr:row>6</xdr:row>
          <xdr:rowOff>7620</xdr:rowOff>
        </xdr:from>
        <xdr:to>
          <xdr:col>21</xdr:col>
          <xdr:colOff>510540</xdr:colOff>
          <xdr:row>7</xdr:row>
          <xdr:rowOff>53340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入力チェック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76200</xdr:colOff>
          <xdr:row>2</xdr:row>
          <xdr:rowOff>381000</xdr:rowOff>
        </xdr:from>
        <xdr:to>
          <xdr:col>21</xdr:col>
          <xdr:colOff>495300</xdr:colOff>
          <xdr:row>3</xdr:row>
          <xdr:rowOff>144780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2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合計のみ印刷</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26FFE-49C0-4B2F-9189-86AF5AEDA556}">
  <sheetPr codeName="Sheet1"/>
  <dimension ref="A1:J54"/>
  <sheetViews>
    <sheetView showGridLines="0" zoomScaleNormal="100" workbookViewId="0"/>
  </sheetViews>
  <sheetFormatPr defaultColWidth="9.109375" defaultRowHeight="20.100000000000001" customHeight="1" x14ac:dyDescent="0.2"/>
  <cols>
    <col min="1" max="16384" width="9.109375" style="130"/>
  </cols>
  <sheetData>
    <row r="1" spans="1:10" ht="20.100000000000001" customHeight="1" x14ac:dyDescent="0.2">
      <c r="I1" s="130" t="str">
        <f>祝日表!L2</f>
        <v>GREEN</v>
      </c>
      <c r="J1" s="176"/>
    </row>
    <row r="2" spans="1:10" ht="28.2" x14ac:dyDescent="0.2">
      <c r="B2" s="26" t="s">
        <v>0</v>
      </c>
    </row>
    <row r="4" spans="1:10" ht="20.100000000000001" customHeight="1" x14ac:dyDescent="0.2">
      <c r="A4" s="130" t="s">
        <v>1</v>
      </c>
    </row>
    <row r="5" spans="1:10" ht="20.100000000000001" customHeight="1" x14ac:dyDescent="0.2">
      <c r="B5" s="130" t="s">
        <v>222</v>
      </c>
    </row>
    <row r="6" spans="1:10" ht="20.100000000000001" customHeight="1" x14ac:dyDescent="0.2">
      <c r="C6" s="130" t="s">
        <v>2</v>
      </c>
    </row>
    <row r="8" spans="1:10" ht="20.100000000000001" customHeight="1" x14ac:dyDescent="0.2">
      <c r="B8" s="130" t="s">
        <v>161</v>
      </c>
    </row>
    <row r="10" spans="1:10" ht="20.100000000000001" customHeight="1" x14ac:dyDescent="0.2">
      <c r="B10" s="130" t="s">
        <v>3</v>
      </c>
    </row>
    <row r="11" spans="1:10" ht="20.100000000000001" customHeight="1" x14ac:dyDescent="0.2">
      <c r="C11" s="130" t="s">
        <v>2</v>
      </c>
    </row>
    <row r="13" spans="1:10" ht="20.100000000000001" customHeight="1" x14ac:dyDescent="0.2">
      <c r="B13" s="130" t="s">
        <v>210</v>
      </c>
    </row>
    <row r="14" spans="1:10" ht="20.100000000000001" customHeight="1" x14ac:dyDescent="0.2">
      <c r="C14" s="130" t="s">
        <v>4</v>
      </c>
    </row>
    <row r="18" spans="1:9" ht="20.100000000000001" customHeight="1" x14ac:dyDescent="0.2">
      <c r="A18" s="130" t="s">
        <v>5</v>
      </c>
    </row>
    <row r="19" spans="1:9" ht="20.100000000000001" customHeight="1" x14ac:dyDescent="0.2">
      <c r="B19" s="130" t="s">
        <v>212</v>
      </c>
    </row>
    <row r="21" spans="1:9" ht="20.100000000000001" customHeight="1" x14ac:dyDescent="0.2">
      <c r="A21" s="130" t="s">
        <v>211</v>
      </c>
      <c r="H21" s="130" t="s">
        <v>6</v>
      </c>
    </row>
    <row r="22" spans="1:9" ht="20.100000000000001" customHeight="1" x14ac:dyDescent="0.2">
      <c r="B22" s="130" t="s">
        <v>7</v>
      </c>
      <c r="H22" s="131" t="s">
        <v>8</v>
      </c>
    </row>
    <row r="23" spans="1:9" ht="20.100000000000001" customHeight="1" x14ac:dyDescent="0.2">
      <c r="B23" s="130" t="s">
        <v>162</v>
      </c>
      <c r="H23" s="131"/>
    </row>
    <row r="24" spans="1:9" ht="20.100000000000001" customHeight="1" x14ac:dyDescent="0.2">
      <c r="B24" s="130" t="s">
        <v>163</v>
      </c>
      <c r="H24" s="131" t="s">
        <v>9</v>
      </c>
      <c r="I24" s="130" t="s">
        <v>120</v>
      </c>
    </row>
    <row r="25" spans="1:9" ht="20.100000000000001" customHeight="1" x14ac:dyDescent="0.2">
      <c r="B25" s="130" t="s">
        <v>164</v>
      </c>
      <c r="H25" s="131" t="s">
        <v>10</v>
      </c>
    </row>
    <row r="26" spans="1:9" ht="20.100000000000001" customHeight="1" x14ac:dyDescent="0.2">
      <c r="B26" s="130" t="s">
        <v>78</v>
      </c>
      <c r="H26" s="131" t="s">
        <v>82</v>
      </c>
    </row>
    <row r="27" spans="1:9" ht="20.100000000000001" customHeight="1" x14ac:dyDescent="0.2">
      <c r="B27" s="130" t="s">
        <v>165</v>
      </c>
      <c r="H27" s="131" t="s">
        <v>83</v>
      </c>
    </row>
    <row r="28" spans="1:9" ht="20.100000000000001" customHeight="1" x14ac:dyDescent="0.2">
      <c r="B28" s="130" t="s">
        <v>79</v>
      </c>
      <c r="H28" s="131" t="s">
        <v>75</v>
      </c>
    </row>
    <row r="29" spans="1:9" ht="20.100000000000001" customHeight="1" x14ac:dyDescent="0.2">
      <c r="B29" s="130" t="s">
        <v>203</v>
      </c>
      <c r="H29" s="131" t="s">
        <v>200</v>
      </c>
    </row>
    <row r="30" spans="1:9" ht="20.100000000000001" customHeight="1" x14ac:dyDescent="0.2">
      <c r="B30" s="130" t="s">
        <v>205</v>
      </c>
      <c r="H30" s="131" t="s">
        <v>206</v>
      </c>
    </row>
    <row r="31" spans="1:9" ht="20.100000000000001" customHeight="1" x14ac:dyDescent="0.2">
      <c r="B31" s="130" t="s">
        <v>166</v>
      </c>
      <c r="H31" s="131" t="s">
        <v>11</v>
      </c>
    </row>
    <row r="32" spans="1:9" ht="20.100000000000001" customHeight="1" x14ac:dyDescent="0.2">
      <c r="B32" s="130" t="s">
        <v>80</v>
      </c>
      <c r="H32" s="131" t="s">
        <v>73</v>
      </c>
    </row>
    <row r="33" spans="1:9" ht="20.100000000000001" customHeight="1" x14ac:dyDescent="0.2">
      <c r="B33" s="130" t="s">
        <v>81</v>
      </c>
      <c r="H33" s="131" t="s">
        <v>74</v>
      </c>
    </row>
    <row r="34" spans="1:9" ht="20.100000000000001" customHeight="1" x14ac:dyDescent="0.2">
      <c r="B34" s="130" t="s">
        <v>117</v>
      </c>
      <c r="H34" s="131" t="s">
        <v>118</v>
      </c>
      <c r="I34" s="130" t="s">
        <v>121</v>
      </c>
    </row>
    <row r="35" spans="1:9" ht="20.100000000000001" customHeight="1" x14ac:dyDescent="0.2">
      <c r="B35" s="130" t="s">
        <v>84</v>
      </c>
      <c r="H35" s="131" t="s">
        <v>167</v>
      </c>
    </row>
    <row r="36" spans="1:9" ht="20.100000000000001" customHeight="1" x14ac:dyDescent="0.2">
      <c r="B36" s="130" t="s">
        <v>85</v>
      </c>
    </row>
    <row r="37" spans="1:9" ht="20.100000000000001" customHeight="1" x14ac:dyDescent="0.2">
      <c r="B37" s="130" t="s">
        <v>251</v>
      </c>
      <c r="H37" s="131" t="s">
        <v>250</v>
      </c>
    </row>
    <row r="38" spans="1:9" ht="20.100000000000001" customHeight="1" x14ac:dyDescent="0.2">
      <c r="B38" s="130" t="s">
        <v>204</v>
      </c>
    </row>
    <row r="39" spans="1:9" ht="20.100000000000001" customHeight="1" x14ac:dyDescent="0.2">
      <c r="B39" s="130" t="s">
        <v>119</v>
      </c>
    </row>
    <row r="41" spans="1:9" ht="20.100000000000001" customHeight="1" x14ac:dyDescent="0.2">
      <c r="A41" s="130" t="s">
        <v>199</v>
      </c>
    </row>
    <row r="42" spans="1:9" ht="20.100000000000001" customHeight="1" x14ac:dyDescent="0.2">
      <c r="B42" s="130" t="s">
        <v>223</v>
      </c>
    </row>
    <row r="43" spans="1:9" ht="20.100000000000001" customHeight="1" x14ac:dyDescent="0.2">
      <c r="B43" s="130" t="s">
        <v>224</v>
      </c>
    </row>
    <row r="47" spans="1:9" ht="20.100000000000001" customHeight="1" x14ac:dyDescent="0.2">
      <c r="B47" s="130" t="s">
        <v>195</v>
      </c>
    </row>
    <row r="48" spans="1:9" ht="20.100000000000001" customHeight="1" x14ac:dyDescent="0.2">
      <c r="B48" s="130" t="s">
        <v>196</v>
      </c>
    </row>
    <row r="49" spans="2:2" ht="20.100000000000001" customHeight="1" x14ac:dyDescent="0.2">
      <c r="B49" s="130" t="s">
        <v>197</v>
      </c>
    </row>
    <row r="50" spans="2:2" ht="20.100000000000001" customHeight="1" x14ac:dyDescent="0.2">
      <c r="B50" s="130" t="s">
        <v>198</v>
      </c>
    </row>
    <row r="52" spans="2:2" ht="20.100000000000001" customHeight="1" x14ac:dyDescent="0.2">
      <c r="B52" s="130" t="s">
        <v>168</v>
      </c>
    </row>
    <row r="53" spans="2:2" ht="20.100000000000001" customHeight="1" x14ac:dyDescent="0.2">
      <c r="B53" s="130" t="s">
        <v>193</v>
      </c>
    </row>
    <row r="54" spans="2:2" ht="20.100000000000001" customHeight="1" x14ac:dyDescent="0.2">
      <c r="B54" s="130" t="s">
        <v>194</v>
      </c>
    </row>
  </sheetData>
  <phoneticPr fontId="22"/>
  <printOptions gridLinesSet="0"/>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Line="0" autoPict="0" macro="[0]!set_calendar">
                <anchor moveWithCells="1" sizeWithCells="1">
                  <from>
                    <xdr:col>2</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2" r:id="rId5" name="Button 8">
              <controlPr defaultSize="0" print="0" autoFill="0" autoLine="0" autoPict="0" macro="[0]!check_input">
                <anchor moveWithCells="1" sizeWithCells="1">
                  <from>
                    <xdr:col>2</xdr:col>
                    <xdr:colOff>0</xdr:colOff>
                    <xdr:row>44</xdr:row>
                    <xdr:rowOff>0</xdr:rowOff>
                  </from>
                  <to>
                    <xdr:col>4</xdr:col>
                    <xdr:colOff>0</xdr:colOff>
                    <xdr:row>45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86C65-1C8C-4D7A-A2CD-88DDD7FDC43B}">
  <sheetPr codeName="Sheet4"/>
  <dimension ref="A1:Q58"/>
  <sheetViews>
    <sheetView showGridLines="0" zoomScaleNormal="100" workbookViewId="0">
      <selection activeCell="B2" sqref="B2"/>
    </sheetView>
  </sheetViews>
  <sheetFormatPr defaultColWidth="8.77734375" defaultRowHeight="13.2" x14ac:dyDescent="0.2"/>
  <sheetData>
    <row r="1" spans="1:17" x14ac:dyDescent="0.2">
      <c r="A1" s="17" t="s">
        <v>227</v>
      </c>
      <c r="B1" s="17" t="s">
        <v>45</v>
      </c>
      <c r="C1" s="21" t="s">
        <v>170</v>
      </c>
      <c r="D1" s="71" t="s">
        <v>61</v>
      </c>
      <c r="E1" s="72"/>
      <c r="F1" s="73" t="s">
        <v>77</v>
      </c>
      <c r="G1" s="73"/>
      <c r="H1" s="73"/>
      <c r="I1" s="73"/>
      <c r="J1" s="73"/>
      <c r="K1" s="72"/>
      <c r="L1" s="72" t="s">
        <v>171</v>
      </c>
    </row>
    <row r="2" spans="1:17" x14ac:dyDescent="0.2">
      <c r="A2" s="29">
        <v>2020</v>
      </c>
      <c r="B2" s="29">
        <v>4</v>
      </c>
      <c r="C2" s="167" t="s">
        <v>252</v>
      </c>
      <c r="D2" s="204" t="s">
        <v>253</v>
      </c>
      <c r="E2" s="206"/>
      <c r="F2" s="204" t="s">
        <v>249</v>
      </c>
      <c r="G2" s="205"/>
      <c r="H2" s="205"/>
      <c r="I2" s="205"/>
      <c r="J2" s="205"/>
      <c r="K2" s="206"/>
      <c r="L2" s="175" t="s">
        <v>246</v>
      </c>
    </row>
    <row r="3" spans="1:17" x14ac:dyDescent="0.2">
      <c r="A3" s="18" t="s">
        <v>62</v>
      </c>
      <c r="B3" s="19"/>
      <c r="C3" s="19"/>
      <c r="D3" s="19"/>
      <c r="E3" s="19"/>
      <c r="F3" s="19"/>
      <c r="G3" s="19"/>
      <c r="H3" s="19"/>
      <c r="I3" s="19"/>
      <c r="J3" s="19"/>
      <c r="K3" s="19"/>
      <c r="L3" s="20"/>
    </row>
    <row r="4" spans="1:17" x14ac:dyDescent="0.2">
      <c r="A4" s="21" t="s">
        <v>48</v>
      </c>
      <c r="B4" s="22" t="s">
        <v>49</v>
      </c>
      <c r="C4" s="22" t="s">
        <v>50</v>
      </c>
      <c r="D4" s="22" t="s">
        <v>51</v>
      </c>
      <c r="E4" s="22" t="s">
        <v>52</v>
      </c>
      <c r="F4" s="22" t="s">
        <v>53</v>
      </c>
      <c r="G4" s="22" t="s">
        <v>54</v>
      </c>
      <c r="H4" s="22" t="s">
        <v>55</v>
      </c>
      <c r="I4" s="22" t="s">
        <v>56</v>
      </c>
      <c r="J4" s="22" t="s">
        <v>57</v>
      </c>
      <c r="K4" s="22" t="s">
        <v>58</v>
      </c>
      <c r="L4" s="22" t="s">
        <v>59</v>
      </c>
      <c r="O4" s="21" t="s">
        <v>233</v>
      </c>
      <c r="Q4" t="s">
        <v>63</v>
      </c>
    </row>
    <row r="5" spans="1:17" x14ac:dyDescent="0.2">
      <c r="A5" s="30">
        <v>2</v>
      </c>
      <c r="B5" s="31">
        <v>11</v>
      </c>
      <c r="C5" s="31">
        <v>20</v>
      </c>
      <c r="D5" s="31">
        <v>29</v>
      </c>
      <c r="E5" s="31">
        <v>1</v>
      </c>
      <c r="F5" s="31"/>
      <c r="G5" s="31">
        <v>15</v>
      </c>
      <c r="H5" s="31"/>
      <c r="I5" s="31">
        <v>23</v>
      </c>
      <c r="J5" s="31">
        <v>22</v>
      </c>
      <c r="K5" s="31">
        <v>3</v>
      </c>
      <c r="L5" s="31">
        <v>29</v>
      </c>
      <c r="O5" s="30"/>
      <c r="Q5" t="s">
        <v>64</v>
      </c>
    </row>
    <row r="6" spans="1:17" x14ac:dyDescent="0.2">
      <c r="A6" s="32">
        <v>3</v>
      </c>
      <c r="B6" s="33">
        <v>24</v>
      </c>
      <c r="C6" s="33"/>
      <c r="D6" s="33"/>
      <c r="E6" s="33">
        <v>6</v>
      </c>
      <c r="F6" s="33"/>
      <c r="G6" s="33"/>
      <c r="H6" s="33"/>
      <c r="I6" s="33"/>
      <c r="J6" s="33"/>
      <c r="K6" s="33"/>
      <c r="L6" s="33">
        <v>30</v>
      </c>
      <c r="O6" s="32"/>
      <c r="Q6" t="s">
        <v>65</v>
      </c>
    </row>
    <row r="7" spans="1:17" x14ac:dyDescent="0.2">
      <c r="A7" s="32">
        <v>4</v>
      </c>
      <c r="B7" s="33"/>
      <c r="C7" s="33"/>
      <c r="D7" s="33"/>
      <c r="E7" s="33"/>
      <c r="F7" s="33"/>
      <c r="G7" s="33"/>
      <c r="H7" s="33"/>
      <c r="I7" s="33"/>
      <c r="J7" s="33"/>
      <c r="K7" s="33"/>
      <c r="L7" s="33">
        <v>31</v>
      </c>
      <c r="O7" s="32"/>
    </row>
    <row r="8" spans="1:17" x14ac:dyDescent="0.2">
      <c r="A8" s="32"/>
      <c r="B8" s="33"/>
      <c r="C8" s="33"/>
      <c r="D8" s="33"/>
      <c r="E8" s="33"/>
      <c r="F8" s="33"/>
      <c r="G8" s="33"/>
      <c r="H8" s="33"/>
      <c r="I8" s="33"/>
      <c r="J8" s="33"/>
      <c r="K8" s="33"/>
      <c r="L8" s="33"/>
      <c r="O8" s="32"/>
    </row>
    <row r="9" spans="1:17" x14ac:dyDescent="0.2">
      <c r="A9" s="32"/>
      <c r="B9" s="33"/>
      <c r="C9" s="33"/>
      <c r="D9" s="33"/>
      <c r="E9" s="33"/>
      <c r="F9" s="33"/>
      <c r="G9" s="33"/>
      <c r="H9" s="33"/>
      <c r="I9" s="33"/>
      <c r="J9" s="33"/>
      <c r="K9" s="33"/>
      <c r="L9" s="33"/>
      <c r="O9" s="32"/>
    </row>
    <row r="10" spans="1:17" x14ac:dyDescent="0.2">
      <c r="A10" s="32"/>
      <c r="B10" s="33"/>
      <c r="C10" s="33"/>
      <c r="D10" s="33"/>
      <c r="E10" s="33"/>
      <c r="F10" s="33"/>
      <c r="G10" s="33"/>
      <c r="H10" s="33"/>
      <c r="I10" s="33"/>
      <c r="J10" s="33"/>
      <c r="K10" s="33"/>
      <c r="L10" s="33"/>
      <c r="O10" s="32"/>
    </row>
    <row r="11" spans="1:17" x14ac:dyDescent="0.2">
      <c r="A11" s="32"/>
      <c r="B11" s="33"/>
      <c r="C11" s="33"/>
      <c r="D11" s="33"/>
      <c r="E11" s="33"/>
      <c r="F11" s="33"/>
      <c r="G11" s="33"/>
      <c r="H11" s="33"/>
      <c r="I11" s="33"/>
      <c r="J11" s="33"/>
      <c r="K11" s="33"/>
      <c r="L11" s="33"/>
      <c r="O11" s="32"/>
    </row>
    <row r="12" spans="1:17" x14ac:dyDescent="0.2">
      <c r="A12" s="32"/>
      <c r="B12" s="33"/>
      <c r="C12" s="33"/>
      <c r="D12" s="33"/>
      <c r="E12" s="33"/>
      <c r="F12" s="33"/>
      <c r="G12" s="33"/>
      <c r="H12" s="33"/>
      <c r="I12" s="33"/>
      <c r="J12" s="33"/>
      <c r="K12" s="33"/>
      <c r="L12" s="33"/>
      <c r="O12" s="32"/>
    </row>
    <row r="13" spans="1:17" x14ac:dyDescent="0.2">
      <c r="A13" s="32"/>
      <c r="B13" s="33"/>
      <c r="C13" s="33"/>
      <c r="D13" s="33"/>
      <c r="E13" s="33"/>
      <c r="F13" s="33"/>
      <c r="G13" s="33"/>
      <c r="H13" s="33"/>
      <c r="I13" s="33"/>
      <c r="J13" s="33"/>
      <c r="K13" s="33"/>
      <c r="L13" s="33"/>
      <c r="O13" s="32"/>
    </row>
    <row r="14" spans="1:17" x14ac:dyDescent="0.2">
      <c r="A14" s="32"/>
      <c r="B14" s="33"/>
      <c r="C14" s="33"/>
      <c r="D14" s="33"/>
      <c r="E14" s="33"/>
      <c r="F14" s="33"/>
      <c r="G14" s="33"/>
      <c r="H14" s="33"/>
      <c r="I14" s="33"/>
      <c r="J14" s="33"/>
      <c r="K14" s="33"/>
      <c r="L14" s="33"/>
      <c r="O14" s="32"/>
    </row>
    <row r="15" spans="1:17" x14ac:dyDescent="0.2">
      <c r="A15" s="32"/>
      <c r="B15" s="33"/>
      <c r="C15" s="33"/>
      <c r="D15" s="33"/>
      <c r="E15" s="33"/>
      <c r="F15" s="33"/>
      <c r="G15" s="33"/>
      <c r="H15" s="33"/>
      <c r="I15" s="33"/>
      <c r="J15" s="33"/>
      <c r="K15" s="33"/>
      <c r="L15" s="33"/>
      <c r="O15" s="32"/>
    </row>
    <row r="16" spans="1:17" x14ac:dyDescent="0.2">
      <c r="A16" s="32"/>
      <c r="B16" s="33"/>
      <c r="C16" s="33"/>
      <c r="D16" s="33"/>
      <c r="E16" s="33"/>
      <c r="F16" s="33"/>
      <c r="G16" s="33"/>
      <c r="H16" s="33"/>
      <c r="I16" s="33"/>
      <c r="J16" s="33"/>
      <c r="K16" s="33"/>
      <c r="L16" s="33"/>
      <c r="O16" s="32"/>
    </row>
    <row r="17" spans="1:15" x14ac:dyDescent="0.2">
      <c r="A17" s="32"/>
      <c r="B17" s="33"/>
      <c r="C17" s="33"/>
      <c r="D17" s="33"/>
      <c r="E17" s="33"/>
      <c r="F17" s="33"/>
      <c r="G17" s="33"/>
      <c r="H17" s="33"/>
      <c r="I17" s="33"/>
      <c r="J17" s="33"/>
      <c r="K17" s="33"/>
      <c r="L17" s="33"/>
      <c r="O17" s="32"/>
    </row>
    <row r="18" spans="1:15" x14ac:dyDescent="0.2">
      <c r="A18" s="32"/>
      <c r="B18" s="33"/>
      <c r="C18" s="33"/>
      <c r="D18" s="33"/>
      <c r="E18" s="33"/>
      <c r="F18" s="33"/>
      <c r="G18" s="33"/>
      <c r="H18" s="33"/>
      <c r="I18" s="33"/>
      <c r="J18" s="33"/>
      <c r="K18" s="33"/>
      <c r="L18" s="33"/>
      <c r="O18" s="32"/>
    </row>
    <row r="19" spans="1:15" x14ac:dyDescent="0.2">
      <c r="A19" s="32"/>
      <c r="B19" s="33"/>
      <c r="C19" s="33"/>
      <c r="D19" s="33"/>
      <c r="E19" s="33"/>
      <c r="F19" s="33"/>
      <c r="G19" s="33"/>
      <c r="H19" s="33"/>
      <c r="I19" s="33"/>
      <c r="J19" s="33"/>
      <c r="K19" s="33"/>
      <c r="L19" s="33"/>
      <c r="O19" s="32"/>
    </row>
    <row r="20" spans="1:15" x14ac:dyDescent="0.2">
      <c r="A20" s="32"/>
      <c r="B20" s="33"/>
      <c r="C20" s="33"/>
      <c r="D20" s="33"/>
      <c r="E20" s="33"/>
      <c r="F20" s="33"/>
      <c r="G20" s="33"/>
      <c r="H20" s="33"/>
      <c r="I20" s="33"/>
      <c r="J20" s="33"/>
      <c r="K20" s="33"/>
      <c r="L20" s="33"/>
      <c r="O20" s="32"/>
    </row>
    <row r="21" spans="1:15" x14ac:dyDescent="0.2">
      <c r="A21" s="32"/>
      <c r="B21" s="33"/>
      <c r="C21" s="33"/>
      <c r="D21" s="33"/>
      <c r="E21" s="33"/>
      <c r="F21" s="33"/>
      <c r="G21" s="33"/>
      <c r="H21" s="33"/>
      <c r="I21" s="33"/>
      <c r="J21" s="33"/>
      <c r="K21" s="33"/>
      <c r="L21" s="33"/>
      <c r="O21" s="32"/>
    </row>
    <row r="22" spans="1:15" x14ac:dyDescent="0.2">
      <c r="A22" s="32"/>
      <c r="B22" s="33"/>
      <c r="C22" s="33"/>
      <c r="D22" s="33"/>
      <c r="E22" s="33"/>
      <c r="F22" s="33"/>
      <c r="G22" s="33"/>
      <c r="H22" s="33"/>
      <c r="I22" s="33"/>
      <c r="J22" s="33"/>
      <c r="K22" s="33"/>
      <c r="L22" s="33"/>
      <c r="O22" s="32"/>
    </row>
    <row r="23" spans="1:15" x14ac:dyDescent="0.2">
      <c r="A23" s="32"/>
      <c r="B23" s="33"/>
      <c r="C23" s="33"/>
      <c r="D23" s="33"/>
      <c r="E23" s="33"/>
      <c r="F23" s="33"/>
      <c r="G23" s="33"/>
      <c r="H23" s="33"/>
      <c r="I23" s="33"/>
      <c r="J23" s="33"/>
      <c r="K23" s="33"/>
      <c r="L23" s="33"/>
      <c r="O23" s="32"/>
    </row>
    <row r="24" spans="1:15" x14ac:dyDescent="0.2">
      <c r="A24" s="32"/>
      <c r="B24" s="33"/>
      <c r="C24" s="33"/>
      <c r="D24" s="33"/>
      <c r="E24" s="33"/>
      <c r="F24" s="33"/>
      <c r="G24" s="33"/>
      <c r="H24" s="33"/>
      <c r="I24" s="33"/>
      <c r="J24" s="33"/>
      <c r="K24" s="33"/>
      <c r="L24" s="33"/>
      <c r="O24" s="32"/>
    </row>
    <row r="25" spans="1:15" x14ac:dyDescent="0.2">
      <c r="A25" s="32"/>
      <c r="B25" s="33"/>
      <c r="C25" s="33"/>
      <c r="D25" s="33"/>
      <c r="E25" s="33"/>
      <c r="F25" s="33"/>
      <c r="G25" s="33"/>
      <c r="H25" s="33"/>
      <c r="I25" s="33"/>
      <c r="J25" s="33"/>
      <c r="K25" s="33"/>
      <c r="L25" s="33"/>
      <c r="O25" s="32"/>
    </row>
    <row r="26" spans="1:15" x14ac:dyDescent="0.2">
      <c r="A26" s="29"/>
      <c r="B26" s="34"/>
      <c r="C26" s="34"/>
      <c r="D26" s="34"/>
      <c r="E26" s="34"/>
      <c r="F26" s="34"/>
      <c r="G26" s="34"/>
      <c r="H26" s="34"/>
      <c r="I26" s="34"/>
      <c r="J26" s="34"/>
      <c r="K26" s="34"/>
      <c r="L26" s="34"/>
      <c r="O26" s="29"/>
    </row>
    <row r="28" spans="1:15" x14ac:dyDescent="0.2">
      <c r="A28" s="27" t="s">
        <v>66</v>
      </c>
      <c r="B28" s="27"/>
      <c r="C28" s="27"/>
      <c r="D28" s="27"/>
      <c r="E28" s="27"/>
      <c r="F28" s="27"/>
      <c r="G28" s="27"/>
      <c r="H28" s="27"/>
      <c r="I28" s="27"/>
      <c r="J28" s="27"/>
      <c r="K28" s="27"/>
    </row>
    <row r="33" spans="1:17" x14ac:dyDescent="0.2">
      <c r="A33" s="18" t="s">
        <v>67</v>
      </c>
      <c r="B33" s="19"/>
      <c r="C33" s="19"/>
      <c r="D33" s="19"/>
      <c r="E33" s="19"/>
      <c r="F33" s="19"/>
      <c r="G33" s="19"/>
      <c r="H33" s="19"/>
      <c r="I33" s="19"/>
      <c r="J33" s="19"/>
      <c r="K33" s="19"/>
      <c r="L33" s="20"/>
    </row>
    <row r="34" spans="1:17" x14ac:dyDescent="0.2">
      <c r="A34" s="21" t="s">
        <v>48</v>
      </c>
      <c r="B34" s="22" t="s">
        <v>49</v>
      </c>
      <c r="C34" s="22" t="s">
        <v>50</v>
      </c>
      <c r="D34" s="22" t="s">
        <v>51</v>
      </c>
      <c r="E34" s="22" t="s">
        <v>52</v>
      </c>
      <c r="F34" s="22" t="s">
        <v>53</v>
      </c>
      <c r="G34" s="22" t="s">
        <v>54</v>
      </c>
      <c r="H34" s="22" t="s">
        <v>55</v>
      </c>
      <c r="I34" s="22" t="s">
        <v>56</v>
      </c>
      <c r="J34" s="22" t="s">
        <v>57</v>
      </c>
      <c r="K34" s="22" t="s">
        <v>58</v>
      </c>
      <c r="L34" s="22" t="s">
        <v>59</v>
      </c>
      <c r="O34" s="21" t="s">
        <v>52</v>
      </c>
      <c r="Q34" t="s">
        <v>68</v>
      </c>
    </row>
    <row r="35" spans="1:17" x14ac:dyDescent="0.2">
      <c r="A35" s="30"/>
      <c r="B35" s="31"/>
      <c r="C35" s="31"/>
      <c r="D35" s="31"/>
      <c r="E35" s="31"/>
      <c r="F35" s="31"/>
      <c r="G35" s="31"/>
      <c r="H35" s="31"/>
      <c r="I35" s="31"/>
      <c r="J35" s="31"/>
      <c r="K35" s="31"/>
      <c r="L35" s="31">
        <v>23</v>
      </c>
      <c r="O35" s="30">
        <v>3</v>
      </c>
      <c r="Q35" t="s">
        <v>69</v>
      </c>
    </row>
    <row r="36" spans="1:17" x14ac:dyDescent="0.2">
      <c r="A36" s="32"/>
      <c r="B36" s="33"/>
      <c r="C36" s="33"/>
      <c r="D36" s="33"/>
      <c r="E36" s="33"/>
      <c r="F36" s="33"/>
      <c r="G36" s="33"/>
      <c r="H36" s="33"/>
      <c r="I36" s="33"/>
      <c r="J36" s="33"/>
      <c r="K36" s="33"/>
      <c r="L36" s="33"/>
      <c r="O36" s="32"/>
      <c r="Q36" t="s">
        <v>70</v>
      </c>
    </row>
    <row r="37" spans="1:17" x14ac:dyDescent="0.2">
      <c r="A37" s="32"/>
      <c r="B37" s="33"/>
      <c r="C37" s="33"/>
      <c r="D37" s="33"/>
      <c r="E37" s="33"/>
      <c r="F37" s="33"/>
      <c r="G37" s="33"/>
      <c r="H37" s="33"/>
      <c r="I37" s="33"/>
      <c r="J37" s="33"/>
      <c r="K37" s="33"/>
      <c r="L37" s="33"/>
      <c r="O37" s="32"/>
      <c r="Q37" t="s">
        <v>71</v>
      </c>
    </row>
    <row r="38" spans="1:17" x14ac:dyDescent="0.2">
      <c r="A38" s="32"/>
      <c r="B38" s="33"/>
      <c r="C38" s="33"/>
      <c r="D38" s="33"/>
      <c r="E38" s="33"/>
      <c r="F38" s="33"/>
      <c r="G38" s="33"/>
      <c r="H38" s="33"/>
      <c r="I38" s="33"/>
      <c r="J38" s="33"/>
      <c r="K38" s="33"/>
      <c r="L38" s="33"/>
      <c r="O38" s="32"/>
      <c r="Q38" t="s">
        <v>65</v>
      </c>
    </row>
    <row r="39" spans="1:17" x14ac:dyDescent="0.2">
      <c r="A39" s="32"/>
      <c r="B39" s="33"/>
      <c r="C39" s="33"/>
      <c r="D39" s="33"/>
      <c r="E39" s="33"/>
      <c r="F39" s="33"/>
      <c r="G39" s="33"/>
      <c r="H39" s="33"/>
      <c r="I39" s="33"/>
      <c r="J39" s="33"/>
      <c r="K39" s="33"/>
      <c r="L39" s="33"/>
      <c r="O39" s="32"/>
    </row>
    <row r="40" spans="1:17" x14ac:dyDescent="0.2">
      <c r="A40" s="32"/>
      <c r="B40" s="33"/>
      <c r="C40" s="33"/>
      <c r="D40" s="33"/>
      <c r="E40" s="33"/>
      <c r="F40" s="33"/>
      <c r="G40" s="33"/>
      <c r="H40" s="33"/>
      <c r="I40" s="33"/>
      <c r="J40" s="33"/>
      <c r="K40" s="33"/>
      <c r="L40" s="33"/>
      <c r="O40" s="32"/>
    </row>
    <row r="41" spans="1:17" x14ac:dyDescent="0.2">
      <c r="A41" s="32"/>
      <c r="B41" s="33"/>
      <c r="C41" s="33"/>
      <c r="D41" s="33"/>
      <c r="E41" s="33"/>
      <c r="F41" s="33"/>
      <c r="G41" s="33"/>
      <c r="H41" s="33"/>
      <c r="I41" s="33"/>
      <c r="J41" s="33"/>
      <c r="K41" s="33"/>
      <c r="L41" s="33"/>
      <c r="O41" s="32"/>
    </row>
    <row r="42" spans="1:17" x14ac:dyDescent="0.2">
      <c r="A42" s="32"/>
      <c r="B42" s="33"/>
      <c r="C42" s="33"/>
      <c r="D42" s="33"/>
      <c r="E42" s="33"/>
      <c r="F42" s="33"/>
      <c r="G42" s="33"/>
      <c r="H42" s="33"/>
      <c r="I42" s="33"/>
      <c r="J42" s="33"/>
      <c r="K42" s="33"/>
      <c r="L42" s="33"/>
      <c r="O42" s="32"/>
    </row>
    <row r="43" spans="1:17" x14ac:dyDescent="0.2">
      <c r="A43" s="32"/>
      <c r="B43" s="33"/>
      <c r="C43" s="33"/>
      <c r="D43" s="33"/>
      <c r="E43" s="33"/>
      <c r="F43" s="33"/>
      <c r="G43" s="33"/>
      <c r="H43" s="33"/>
      <c r="I43" s="33"/>
      <c r="J43" s="33"/>
      <c r="K43" s="33"/>
      <c r="L43" s="33"/>
      <c r="O43" s="32"/>
    </row>
    <row r="44" spans="1:17" x14ac:dyDescent="0.2">
      <c r="A44" s="32"/>
      <c r="B44" s="33"/>
      <c r="C44" s="33"/>
      <c r="D44" s="33"/>
      <c r="E44" s="33"/>
      <c r="F44" s="33"/>
      <c r="G44" s="33"/>
      <c r="H44" s="33"/>
      <c r="I44" s="33"/>
      <c r="J44" s="33"/>
      <c r="K44" s="33"/>
      <c r="L44" s="33"/>
      <c r="O44" s="32"/>
    </row>
    <row r="45" spans="1:17" x14ac:dyDescent="0.2">
      <c r="A45" s="32"/>
      <c r="B45" s="33"/>
      <c r="C45" s="33"/>
      <c r="D45" s="33"/>
      <c r="E45" s="33"/>
      <c r="F45" s="33"/>
      <c r="G45" s="33"/>
      <c r="H45" s="33"/>
      <c r="I45" s="33"/>
      <c r="J45" s="33"/>
      <c r="K45" s="33"/>
      <c r="L45" s="33"/>
      <c r="O45" s="32"/>
    </row>
    <row r="46" spans="1:17" x14ac:dyDescent="0.2">
      <c r="A46" s="32"/>
      <c r="B46" s="33"/>
      <c r="C46" s="33"/>
      <c r="D46" s="33"/>
      <c r="E46" s="33"/>
      <c r="F46" s="33"/>
      <c r="G46" s="33"/>
      <c r="H46" s="33"/>
      <c r="I46" s="33"/>
      <c r="J46" s="33"/>
      <c r="K46" s="33"/>
      <c r="L46" s="33"/>
      <c r="O46" s="32"/>
    </row>
    <row r="47" spans="1:17" x14ac:dyDescent="0.2">
      <c r="A47" s="32"/>
      <c r="B47" s="33"/>
      <c r="C47" s="33"/>
      <c r="D47" s="33"/>
      <c r="E47" s="33"/>
      <c r="F47" s="33"/>
      <c r="G47" s="33"/>
      <c r="H47" s="33"/>
      <c r="I47" s="33"/>
      <c r="J47" s="33"/>
      <c r="K47" s="33"/>
      <c r="L47" s="33"/>
      <c r="O47" s="32"/>
    </row>
    <row r="48" spans="1:17" x14ac:dyDescent="0.2">
      <c r="A48" s="32"/>
      <c r="B48" s="33"/>
      <c r="C48" s="33"/>
      <c r="D48" s="33"/>
      <c r="E48" s="33"/>
      <c r="F48" s="33"/>
      <c r="G48" s="33"/>
      <c r="H48" s="33"/>
      <c r="I48" s="33"/>
      <c r="J48" s="33"/>
      <c r="K48" s="33"/>
      <c r="L48" s="33"/>
      <c r="O48" s="32"/>
    </row>
    <row r="49" spans="1:15" x14ac:dyDescent="0.2">
      <c r="A49" s="32"/>
      <c r="B49" s="33"/>
      <c r="C49" s="33"/>
      <c r="D49" s="33"/>
      <c r="E49" s="33"/>
      <c r="F49" s="33"/>
      <c r="G49" s="33"/>
      <c r="H49" s="33"/>
      <c r="I49" s="33"/>
      <c r="J49" s="33"/>
      <c r="K49" s="33"/>
      <c r="L49" s="33"/>
      <c r="O49" s="32"/>
    </row>
    <row r="50" spans="1:15" x14ac:dyDescent="0.2">
      <c r="A50" s="32"/>
      <c r="B50" s="33"/>
      <c r="C50" s="33"/>
      <c r="D50" s="33"/>
      <c r="E50" s="33"/>
      <c r="F50" s="33"/>
      <c r="G50" s="33"/>
      <c r="H50" s="33"/>
      <c r="I50" s="33"/>
      <c r="J50" s="33"/>
      <c r="K50" s="33"/>
      <c r="L50" s="33"/>
      <c r="O50" s="32"/>
    </row>
    <row r="51" spans="1:15" x14ac:dyDescent="0.2">
      <c r="A51" s="32"/>
      <c r="B51" s="33"/>
      <c r="C51" s="33"/>
      <c r="D51" s="33"/>
      <c r="E51" s="33"/>
      <c r="F51" s="33"/>
      <c r="G51" s="33"/>
      <c r="H51" s="33"/>
      <c r="I51" s="33"/>
      <c r="J51" s="33"/>
      <c r="K51" s="33"/>
      <c r="L51" s="33"/>
      <c r="O51" s="32"/>
    </row>
    <row r="52" spans="1:15" x14ac:dyDescent="0.2">
      <c r="A52" s="32"/>
      <c r="B52" s="33"/>
      <c r="C52" s="33"/>
      <c r="D52" s="33"/>
      <c r="E52" s="33"/>
      <c r="F52" s="33"/>
      <c r="G52" s="33"/>
      <c r="H52" s="33"/>
      <c r="I52" s="33"/>
      <c r="J52" s="33"/>
      <c r="K52" s="33"/>
      <c r="L52" s="33"/>
      <c r="O52" s="32"/>
    </row>
    <row r="53" spans="1:15" x14ac:dyDescent="0.2">
      <c r="A53" s="32"/>
      <c r="B53" s="33"/>
      <c r="C53" s="33"/>
      <c r="D53" s="33"/>
      <c r="E53" s="33"/>
      <c r="F53" s="33"/>
      <c r="G53" s="33"/>
      <c r="H53" s="33"/>
      <c r="I53" s="33"/>
      <c r="J53" s="33"/>
      <c r="K53" s="33"/>
      <c r="L53" s="33"/>
      <c r="O53" s="32"/>
    </row>
    <row r="54" spans="1:15" x14ac:dyDescent="0.2">
      <c r="A54" s="32"/>
      <c r="B54" s="33"/>
      <c r="C54" s="33"/>
      <c r="D54" s="33"/>
      <c r="E54" s="33"/>
      <c r="F54" s="33"/>
      <c r="G54" s="33"/>
      <c r="H54" s="33"/>
      <c r="I54" s="33"/>
      <c r="J54" s="33"/>
      <c r="K54" s="33"/>
      <c r="L54" s="33"/>
      <c r="O54" s="32"/>
    </row>
    <row r="55" spans="1:15" x14ac:dyDescent="0.2">
      <c r="A55" s="32"/>
      <c r="B55" s="33"/>
      <c r="C55" s="33"/>
      <c r="D55" s="33"/>
      <c r="E55" s="33"/>
      <c r="F55" s="33"/>
      <c r="G55" s="33"/>
      <c r="H55" s="33"/>
      <c r="I55" s="33"/>
      <c r="J55" s="33"/>
      <c r="K55" s="33"/>
      <c r="L55" s="33"/>
      <c r="O55" s="32"/>
    </row>
    <row r="56" spans="1:15" x14ac:dyDescent="0.2">
      <c r="A56" s="29"/>
      <c r="B56" s="34"/>
      <c r="C56" s="34"/>
      <c r="D56" s="34"/>
      <c r="E56" s="34"/>
      <c r="F56" s="34"/>
      <c r="G56" s="34"/>
      <c r="H56" s="34"/>
      <c r="I56" s="34"/>
      <c r="J56" s="34"/>
      <c r="K56" s="34"/>
      <c r="L56" s="34"/>
      <c r="O56" s="29"/>
    </row>
    <row r="58" spans="1:15" x14ac:dyDescent="0.2">
      <c r="A58" s="27" t="s">
        <v>72</v>
      </c>
      <c r="B58" s="27"/>
      <c r="C58" s="27"/>
      <c r="D58" s="27"/>
      <c r="E58" s="27"/>
      <c r="F58" s="27"/>
      <c r="G58" s="27"/>
      <c r="H58" s="27"/>
      <c r="I58" s="27"/>
      <c r="J58" s="27"/>
      <c r="K58" s="27"/>
    </row>
  </sheetData>
  <mergeCells count="2">
    <mergeCell ref="F2:K2"/>
    <mergeCell ref="D2:E2"/>
  </mergeCells>
  <phoneticPr fontId="22"/>
  <dataValidations count="1">
    <dataValidation type="list" allowBlank="1" showInputMessage="1" showErrorMessage="1" sqref="L2" xr:uid="{8170FF46-7DF6-4591-B8C6-AE7312F4004F}">
      <formula1>所属</formula1>
    </dataValidation>
  </dataValidations>
  <printOptions gridLinesSet="0"/>
  <pageMargins left="0.75" right="0.75" top="1" bottom="1" header="0.5" footer="0.5"/>
  <pageSetup paperSize="9" orientation="portrait" horizontalDpi="4294967293"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58C6D-FE5D-4D8B-B73C-7AF8CEDFC012}">
  <sheetPr codeName="Sheet2">
    <pageSetUpPr fitToPage="1"/>
  </sheetPr>
  <dimension ref="A1:X56"/>
  <sheetViews>
    <sheetView showGridLines="0" tabSelected="1" zoomScaleNormal="100" workbookViewId="0">
      <selection activeCell="F8" sqref="F8"/>
    </sheetView>
  </sheetViews>
  <sheetFormatPr defaultColWidth="8.77734375" defaultRowHeight="13.2" x14ac:dyDescent="0.2"/>
  <cols>
    <col min="1" max="1" width="3.6640625" style="37" customWidth="1"/>
    <col min="2" max="9" width="5.6640625" style="37" customWidth="1"/>
    <col min="10" max="10" width="6.6640625" style="37" customWidth="1"/>
    <col min="11" max="17" width="5.6640625" style="37" customWidth="1"/>
    <col min="18" max="18" width="5.6640625" style="37" hidden="1" customWidth="1"/>
    <col min="19" max="19" width="8.44140625" style="37" hidden="1" customWidth="1"/>
    <col min="20" max="20" width="5.6640625" style="37" customWidth="1"/>
    <col min="21" max="23" width="8.77734375" style="37" customWidth="1"/>
    <col min="24" max="24" width="12.109375" style="37" hidden="1" customWidth="1"/>
    <col min="25" max="16384" width="8.77734375" style="37"/>
  </cols>
  <sheetData>
    <row r="1" spans="1:22" ht="13.8" thickBot="1" x14ac:dyDescent="0.25">
      <c r="A1" s="35"/>
      <c r="B1" s="36">
        <f>データ!$C$2</f>
        <v>2020</v>
      </c>
      <c r="C1" s="35" t="s">
        <v>12</v>
      </c>
      <c r="D1" s="36">
        <f>データ!$D$2</f>
        <v>4</v>
      </c>
      <c r="E1" s="37" t="s">
        <v>13</v>
      </c>
      <c r="O1" s="187" t="s">
        <v>248</v>
      </c>
      <c r="Q1" s="38" t="str">
        <f>祝日表!L2</f>
        <v>GREEN</v>
      </c>
      <c r="V1" s="186"/>
    </row>
    <row r="2" spans="1:22" ht="15" thickBot="1" x14ac:dyDescent="0.25">
      <c r="A2" s="39" t="s">
        <v>220</v>
      </c>
      <c r="B2" s="40"/>
      <c r="C2" s="40"/>
      <c r="D2" s="39"/>
      <c r="E2" s="40" t="s">
        <v>14</v>
      </c>
      <c r="F2" s="40"/>
      <c r="G2" s="40"/>
      <c r="H2" s="41" t="s">
        <v>15</v>
      </c>
      <c r="I2" s="40"/>
      <c r="J2" s="40" t="s">
        <v>76</v>
      </c>
      <c r="K2" s="42"/>
      <c r="L2" s="43"/>
      <c r="M2" s="43"/>
      <c r="N2" s="43"/>
      <c r="O2" s="43"/>
      <c r="P2" s="44" t="s">
        <v>228</v>
      </c>
      <c r="Q2" s="45" t="s">
        <v>229</v>
      </c>
    </row>
    <row r="3" spans="1:22" ht="39.75" customHeight="1" thickBot="1" x14ac:dyDescent="0.35">
      <c r="A3" s="214" t="str">
        <f>祝日表!C2</f>
        <v>xxx</v>
      </c>
      <c r="B3" s="215"/>
      <c r="C3" s="216"/>
      <c r="D3" s="220" t="str">
        <f>祝日表!$D$2</f>
        <v>xxx</v>
      </c>
      <c r="E3" s="221"/>
      <c r="F3" s="221"/>
      <c r="G3" s="222"/>
      <c r="H3" s="74"/>
      <c r="I3" s="217" t="str">
        <f>祝日表!$F$2</f>
        <v>大阪</v>
      </c>
      <c r="J3" s="218"/>
      <c r="K3" s="218"/>
      <c r="L3" s="218"/>
      <c r="M3" s="218"/>
      <c r="N3" s="218"/>
      <c r="O3" s="219"/>
      <c r="P3" s="75"/>
      <c r="Q3" s="76"/>
    </row>
    <row r="4" spans="1:22" ht="13.8" thickBot="1" x14ac:dyDescent="0.25"/>
    <row r="5" spans="1:22" ht="20.100000000000001" customHeight="1" x14ac:dyDescent="0.2">
      <c r="A5" s="46" t="s">
        <v>16</v>
      </c>
      <c r="B5" s="47"/>
      <c r="C5" s="48" t="s">
        <v>17</v>
      </c>
      <c r="D5" s="49"/>
      <c r="E5" s="48" t="s">
        <v>18</v>
      </c>
      <c r="F5" s="49"/>
      <c r="G5" s="50" t="s">
        <v>19</v>
      </c>
      <c r="H5" s="48" t="s">
        <v>20</v>
      </c>
      <c r="I5" s="49"/>
      <c r="J5" s="81" t="s">
        <v>21</v>
      </c>
      <c r="K5" s="51"/>
      <c r="L5" s="52"/>
      <c r="M5" s="52"/>
      <c r="N5" s="52"/>
      <c r="O5" s="52"/>
      <c r="P5" s="90"/>
      <c r="Q5" s="91" t="s">
        <v>89</v>
      </c>
    </row>
    <row r="6" spans="1:22" ht="20.100000000000001" customHeight="1" thickBot="1" x14ac:dyDescent="0.25">
      <c r="A6" s="54" t="s">
        <v>22</v>
      </c>
      <c r="B6" s="55" t="s">
        <v>23</v>
      </c>
      <c r="C6" s="55"/>
      <c r="D6" s="56"/>
      <c r="E6" s="55"/>
      <c r="F6" s="56"/>
      <c r="G6" s="55"/>
      <c r="H6" s="55" t="s">
        <v>24</v>
      </c>
      <c r="I6" s="56" t="s">
        <v>25</v>
      </c>
      <c r="J6" s="55" t="s">
        <v>26</v>
      </c>
      <c r="K6" s="57"/>
      <c r="L6" s="203" t="s">
        <v>254</v>
      </c>
      <c r="M6" s="58" t="s">
        <v>27</v>
      </c>
      <c r="N6" s="58" t="s">
        <v>28</v>
      </c>
      <c r="O6" s="58" t="s">
        <v>29</v>
      </c>
      <c r="P6" s="58"/>
      <c r="Q6" s="89" t="s">
        <v>90</v>
      </c>
    </row>
    <row r="7" spans="1:22" ht="20.100000000000001" customHeight="1" x14ac:dyDescent="0.2">
      <c r="A7" s="77">
        <f>DATE(B1,D1,1)</f>
        <v>43922</v>
      </c>
      <c r="B7" s="78">
        <f t="shared" ref="B7:B34" si="0">WEEKDAY(A7)</f>
        <v>4</v>
      </c>
      <c r="C7" s="189">
        <v>9</v>
      </c>
      <c r="D7" s="190">
        <v>0</v>
      </c>
      <c r="E7" s="189">
        <v>14</v>
      </c>
      <c r="F7" s="190">
        <v>0</v>
      </c>
      <c r="G7" s="191" t="s">
        <v>256</v>
      </c>
      <c r="H7" s="59">
        <f t="shared" ref="H7:H37" si="1">IF(C7="","",ROUNDDOWN(IF(C7&gt;=E7,((E7*60+F7)-(C7*60+D7)-G7+1440)/60,((E7*60+F7)-(C7*60+D7)-G7)/60),0))</f>
        <v>4</v>
      </c>
      <c r="I7" s="60">
        <f t="shared" ref="I7:I37" si="2">IF(C7="","",MOD(IF(C7&gt;=E7,((E7*60+F7)-(C7*60+D7)-G7+1440),((E7*60+F7)-(C7*60+D7)-G7)),60))</f>
        <v>0</v>
      </c>
      <c r="J7" s="192" t="s">
        <v>83</v>
      </c>
      <c r="K7" s="207" t="s">
        <v>255</v>
      </c>
      <c r="L7" s="208"/>
      <c r="M7" s="208"/>
      <c r="N7" s="208"/>
      <c r="O7" s="208"/>
      <c r="P7" s="209"/>
      <c r="Q7" s="193"/>
      <c r="R7" s="184"/>
      <c r="S7" s="188"/>
    </row>
    <row r="8" spans="1:22" ht="20.100000000000001" customHeight="1" x14ac:dyDescent="0.2">
      <c r="A8" s="77">
        <f t="shared" ref="A8:A34" si="3">(A7+1)</f>
        <v>43923</v>
      </c>
      <c r="B8" s="78">
        <f t="shared" si="0"/>
        <v>5</v>
      </c>
      <c r="C8" s="189">
        <v>9</v>
      </c>
      <c r="D8" s="190">
        <v>0</v>
      </c>
      <c r="E8" s="189">
        <v>18</v>
      </c>
      <c r="F8" s="190">
        <v>0</v>
      </c>
      <c r="G8" s="191" t="s">
        <v>256</v>
      </c>
      <c r="H8" s="59">
        <f t="shared" si="1"/>
        <v>8</v>
      </c>
      <c r="I8" s="60">
        <f t="shared" si="2"/>
        <v>0</v>
      </c>
      <c r="J8" s="192"/>
      <c r="K8" s="207" t="s">
        <v>255</v>
      </c>
      <c r="L8" s="208"/>
      <c r="M8" s="208"/>
      <c r="N8" s="208"/>
      <c r="O8" s="208"/>
      <c r="P8" s="209"/>
      <c r="Q8" s="194"/>
      <c r="R8" s="184"/>
      <c r="S8" s="188"/>
    </row>
    <row r="9" spans="1:22" ht="20.100000000000001" customHeight="1" x14ac:dyDescent="0.2">
      <c r="A9" s="77">
        <f t="shared" si="3"/>
        <v>43924</v>
      </c>
      <c r="B9" s="78">
        <f t="shared" si="0"/>
        <v>6</v>
      </c>
      <c r="C9" s="189">
        <v>9</v>
      </c>
      <c r="D9" s="190">
        <v>0</v>
      </c>
      <c r="E9" s="189">
        <v>18</v>
      </c>
      <c r="F9" s="190">
        <v>0</v>
      </c>
      <c r="G9" s="191" t="s">
        <v>256</v>
      </c>
      <c r="H9" s="59">
        <f t="shared" si="1"/>
        <v>8</v>
      </c>
      <c r="I9" s="60">
        <f t="shared" si="2"/>
        <v>0</v>
      </c>
      <c r="J9" s="192"/>
      <c r="K9" s="207" t="s">
        <v>255</v>
      </c>
      <c r="L9" s="208"/>
      <c r="M9" s="208"/>
      <c r="N9" s="208"/>
      <c r="O9" s="208"/>
      <c r="P9" s="209"/>
      <c r="Q9" s="194"/>
      <c r="R9" s="184"/>
      <c r="S9" s="188"/>
    </row>
    <row r="10" spans="1:22" ht="20.100000000000001" customHeight="1" x14ac:dyDescent="0.2">
      <c r="A10" s="79">
        <f t="shared" si="3"/>
        <v>43925</v>
      </c>
      <c r="B10" s="80">
        <f t="shared" si="0"/>
        <v>7</v>
      </c>
      <c r="C10" s="189"/>
      <c r="D10" s="190"/>
      <c r="E10" s="189"/>
      <c r="F10" s="190"/>
      <c r="G10" s="191"/>
      <c r="H10" s="59" t="str">
        <f t="shared" si="1"/>
        <v/>
      </c>
      <c r="I10" s="60" t="str">
        <f t="shared" si="2"/>
        <v/>
      </c>
      <c r="J10" s="192"/>
      <c r="K10" s="207"/>
      <c r="L10" s="208"/>
      <c r="M10" s="208"/>
      <c r="N10" s="208"/>
      <c r="O10" s="208"/>
      <c r="P10" s="209"/>
      <c r="Q10" s="194"/>
      <c r="R10" s="184"/>
      <c r="S10" s="188"/>
    </row>
    <row r="11" spans="1:22" ht="20.100000000000001" customHeight="1" x14ac:dyDescent="0.2">
      <c r="A11" s="79">
        <f t="shared" si="3"/>
        <v>43926</v>
      </c>
      <c r="B11" s="80">
        <f t="shared" si="0"/>
        <v>1</v>
      </c>
      <c r="C11" s="189"/>
      <c r="D11" s="190"/>
      <c r="E11" s="189"/>
      <c r="F11" s="190"/>
      <c r="G11" s="191"/>
      <c r="H11" s="59" t="str">
        <f t="shared" si="1"/>
        <v/>
      </c>
      <c r="I11" s="60" t="str">
        <f t="shared" si="2"/>
        <v/>
      </c>
      <c r="J11" s="192"/>
      <c r="K11" s="207"/>
      <c r="L11" s="208"/>
      <c r="M11" s="208"/>
      <c r="N11" s="208"/>
      <c r="O11" s="208"/>
      <c r="P11" s="209"/>
      <c r="Q11" s="194"/>
      <c r="R11" s="184"/>
      <c r="S11" s="188"/>
    </row>
    <row r="12" spans="1:22" ht="20.100000000000001" customHeight="1" x14ac:dyDescent="0.2">
      <c r="A12" s="77">
        <f t="shared" si="3"/>
        <v>43927</v>
      </c>
      <c r="B12" s="78">
        <f t="shared" si="0"/>
        <v>2</v>
      </c>
      <c r="C12" s="189">
        <v>9</v>
      </c>
      <c r="D12" s="190">
        <v>0</v>
      </c>
      <c r="E12" s="189">
        <v>18</v>
      </c>
      <c r="F12" s="190">
        <v>0</v>
      </c>
      <c r="G12" s="191" t="s">
        <v>256</v>
      </c>
      <c r="H12" s="59">
        <f t="shared" si="1"/>
        <v>8</v>
      </c>
      <c r="I12" s="60">
        <f t="shared" si="2"/>
        <v>0</v>
      </c>
      <c r="J12" s="192"/>
      <c r="K12" s="207" t="s">
        <v>255</v>
      </c>
      <c r="L12" s="208"/>
      <c r="M12" s="208"/>
      <c r="N12" s="208"/>
      <c r="O12" s="208"/>
      <c r="P12" s="209"/>
      <c r="Q12" s="194"/>
      <c r="R12" s="185"/>
      <c r="S12" s="188"/>
    </row>
    <row r="13" spans="1:22" ht="20.100000000000001" customHeight="1" x14ac:dyDescent="0.2">
      <c r="A13" s="77">
        <f t="shared" si="3"/>
        <v>43928</v>
      </c>
      <c r="B13" s="78">
        <f t="shared" si="0"/>
        <v>3</v>
      </c>
      <c r="C13" s="189">
        <v>9</v>
      </c>
      <c r="D13" s="190">
        <v>0</v>
      </c>
      <c r="E13" s="189">
        <v>18</v>
      </c>
      <c r="F13" s="190">
        <v>0</v>
      </c>
      <c r="G13" s="191" t="s">
        <v>256</v>
      </c>
      <c r="H13" s="59">
        <f t="shared" si="1"/>
        <v>8</v>
      </c>
      <c r="I13" s="60">
        <f t="shared" si="2"/>
        <v>0</v>
      </c>
      <c r="J13" s="192"/>
      <c r="K13" s="207" t="s">
        <v>255</v>
      </c>
      <c r="L13" s="208"/>
      <c r="M13" s="208"/>
      <c r="N13" s="208"/>
      <c r="O13" s="208"/>
      <c r="P13" s="209"/>
      <c r="Q13" s="194"/>
      <c r="R13" s="184"/>
      <c r="S13" s="188"/>
    </row>
    <row r="14" spans="1:22" ht="20.100000000000001" customHeight="1" x14ac:dyDescent="0.2">
      <c r="A14" s="77">
        <f t="shared" si="3"/>
        <v>43929</v>
      </c>
      <c r="B14" s="78">
        <f t="shared" si="0"/>
        <v>4</v>
      </c>
      <c r="C14" s="189">
        <v>9</v>
      </c>
      <c r="D14" s="190">
        <v>0</v>
      </c>
      <c r="E14" s="189">
        <v>18</v>
      </c>
      <c r="F14" s="190">
        <v>0</v>
      </c>
      <c r="G14" s="191" t="s">
        <v>256</v>
      </c>
      <c r="H14" s="59">
        <f t="shared" si="1"/>
        <v>8</v>
      </c>
      <c r="I14" s="60">
        <f t="shared" si="2"/>
        <v>0</v>
      </c>
      <c r="J14" s="192"/>
      <c r="K14" s="207" t="s">
        <v>255</v>
      </c>
      <c r="L14" s="208"/>
      <c r="M14" s="208"/>
      <c r="N14" s="208"/>
      <c r="O14" s="208"/>
      <c r="P14" s="209"/>
      <c r="Q14" s="194"/>
      <c r="R14" s="184"/>
      <c r="S14" s="188"/>
    </row>
    <row r="15" spans="1:22" ht="20.100000000000001" customHeight="1" x14ac:dyDescent="0.2">
      <c r="A15" s="77">
        <f t="shared" si="3"/>
        <v>43930</v>
      </c>
      <c r="B15" s="78">
        <f t="shared" si="0"/>
        <v>5</v>
      </c>
      <c r="C15" s="189">
        <v>9</v>
      </c>
      <c r="D15" s="190">
        <v>0</v>
      </c>
      <c r="E15" s="189">
        <v>18</v>
      </c>
      <c r="F15" s="190">
        <v>0</v>
      </c>
      <c r="G15" s="191" t="s">
        <v>256</v>
      </c>
      <c r="H15" s="59">
        <f t="shared" si="1"/>
        <v>8</v>
      </c>
      <c r="I15" s="60">
        <f t="shared" si="2"/>
        <v>0</v>
      </c>
      <c r="J15" s="192"/>
      <c r="K15" s="207" t="s">
        <v>255</v>
      </c>
      <c r="L15" s="208"/>
      <c r="M15" s="208"/>
      <c r="N15" s="208"/>
      <c r="O15" s="208"/>
      <c r="P15" s="209"/>
      <c r="Q15" s="194"/>
      <c r="R15" s="184"/>
      <c r="S15" s="188"/>
    </row>
    <row r="16" spans="1:22" ht="20.100000000000001" customHeight="1" x14ac:dyDescent="0.2">
      <c r="A16" s="77">
        <f t="shared" si="3"/>
        <v>43931</v>
      </c>
      <c r="B16" s="78">
        <f t="shared" si="0"/>
        <v>6</v>
      </c>
      <c r="C16" s="189">
        <v>9</v>
      </c>
      <c r="D16" s="190">
        <v>0</v>
      </c>
      <c r="E16" s="189">
        <v>18</v>
      </c>
      <c r="F16" s="190">
        <v>0</v>
      </c>
      <c r="G16" s="191" t="s">
        <v>256</v>
      </c>
      <c r="H16" s="59">
        <f t="shared" si="1"/>
        <v>8</v>
      </c>
      <c r="I16" s="60">
        <f t="shared" si="2"/>
        <v>0</v>
      </c>
      <c r="J16" s="192"/>
      <c r="K16" s="207" t="s">
        <v>255</v>
      </c>
      <c r="L16" s="208"/>
      <c r="M16" s="208"/>
      <c r="N16" s="208"/>
      <c r="O16" s="208"/>
      <c r="P16" s="209"/>
      <c r="Q16" s="194"/>
      <c r="R16" s="184"/>
      <c r="S16" s="188"/>
    </row>
    <row r="17" spans="1:19" ht="20.100000000000001" customHeight="1" x14ac:dyDescent="0.2">
      <c r="A17" s="79">
        <f t="shared" si="3"/>
        <v>43932</v>
      </c>
      <c r="B17" s="80">
        <f t="shared" si="0"/>
        <v>7</v>
      </c>
      <c r="C17" s="189"/>
      <c r="D17" s="190"/>
      <c r="E17" s="189"/>
      <c r="F17" s="190"/>
      <c r="G17" s="191"/>
      <c r="H17" s="59" t="str">
        <f t="shared" si="1"/>
        <v/>
      </c>
      <c r="I17" s="60" t="str">
        <f t="shared" si="2"/>
        <v/>
      </c>
      <c r="J17" s="192"/>
      <c r="K17" s="207"/>
      <c r="L17" s="208"/>
      <c r="M17" s="208"/>
      <c r="N17" s="208"/>
      <c r="O17" s="208"/>
      <c r="P17" s="209"/>
      <c r="Q17" s="194"/>
      <c r="R17" s="184"/>
      <c r="S17" s="188"/>
    </row>
    <row r="18" spans="1:19" ht="20.100000000000001" customHeight="1" x14ac:dyDescent="0.2">
      <c r="A18" s="79">
        <f t="shared" si="3"/>
        <v>43933</v>
      </c>
      <c r="B18" s="80">
        <f t="shared" si="0"/>
        <v>1</v>
      </c>
      <c r="C18" s="189"/>
      <c r="D18" s="190"/>
      <c r="E18" s="189"/>
      <c r="F18" s="190"/>
      <c r="G18" s="191"/>
      <c r="H18" s="59" t="str">
        <f t="shared" si="1"/>
        <v/>
      </c>
      <c r="I18" s="60" t="str">
        <f t="shared" si="2"/>
        <v/>
      </c>
      <c r="J18" s="192"/>
      <c r="K18" s="207"/>
      <c r="L18" s="208"/>
      <c r="M18" s="208"/>
      <c r="N18" s="208"/>
      <c r="O18" s="208"/>
      <c r="P18" s="209"/>
      <c r="Q18" s="194"/>
      <c r="R18" s="184"/>
      <c r="S18" s="188"/>
    </row>
    <row r="19" spans="1:19" ht="20.100000000000001" customHeight="1" x14ac:dyDescent="0.2">
      <c r="A19" s="77">
        <f t="shared" si="3"/>
        <v>43934</v>
      </c>
      <c r="B19" s="78">
        <f t="shared" si="0"/>
        <v>2</v>
      </c>
      <c r="C19" s="189">
        <v>9</v>
      </c>
      <c r="D19" s="190">
        <v>0</v>
      </c>
      <c r="E19" s="189">
        <v>18</v>
      </c>
      <c r="F19" s="190">
        <v>0</v>
      </c>
      <c r="G19" s="191" t="s">
        <v>256</v>
      </c>
      <c r="H19" s="59">
        <f t="shared" si="1"/>
        <v>8</v>
      </c>
      <c r="I19" s="60">
        <f t="shared" si="2"/>
        <v>0</v>
      </c>
      <c r="J19" s="192"/>
      <c r="K19" s="207" t="s">
        <v>255</v>
      </c>
      <c r="L19" s="208"/>
      <c r="M19" s="208"/>
      <c r="N19" s="208"/>
      <c r="O19" s="208"/>
      <c r="P19" s="209"/>
      <c r="Q19" s="194"/>
      <c r="R19" s="185"/>
      <c r="S19" s="188"/>
    </row>
    <row r="20" spans="1:19" ht="20.100000000000001" customHeight="1" x14ac:dyDescent="0.2">
      <c r="A20" s="77">
        <f t="shared" si="3"/>
        <v>43935</v>
      </c>
      <c r="B20" s="78">
        <f t="shared" si="0"/>
        <v>3</v>
      </c>
      <c r="C20" s="189">
        <v>9</v>
      </c>
      <c r="D20" s="190">
        <v>0</v>
      </c>
      <c r="E20" s="189">
        <v>18</v>
      </c>
      <c r="F20" s="190">
        <v>0</v>
      </c>
      <c r="G20" s="191" t="s">
        <v>256</v>
      </c>
      <c r="H20" s="59">
        <f t="shared" si="1"/>
        <v>8</v>
      </c>
      <c r="I20" s="60">
        <f t="shared" si="2"/>
        <v>0</v>
      </c>
      <c r="J20" s="192"/>
      <c r="K20" s="207" t="s">
        <v>255</v>
      </c>
      <c r="L20" s="208"/>
      <c r="M20" s="208"/>
      <c r="N20" s="208"/>
      <c r="O20" s="208"/>
      <c r="P20" s="209"/>
      <c r="Q20" s="194"/>
      <c r="R20" s="184"/>
      <c r="S20" s="188"/>
    </row>
    <row r="21" spans="1:19" ht="20.100000000000001" customHeight="1" x14ac:dyDescent="0.2">
      <c r="A21" s="77">
        <f t="shared" si="3"/>
        <v>43936</v>
      </c>
      <c r="B21" s="78">
        <f t="shared" si="0"/>
        <v>4</v>
      </c>
      <c r="C21" s="189">
        <v>9</v>
      </c>
      <c r="D21" s="190">
        <v>0</v>
      </c>
      <c r="E21" s="189">
        <v>18</v>
      </c>
      <c r="F21" s="190">
        <v>0</v>
      </c>
      <c r="G21" s="191" t="s">
        <v>256</v>
      </c>
      <c r="H21" s="59">
        <f t="shared" si="1"/>
        <v>8</v>
      </c>
      <c r="I21" s="60">
        <f t="shared" si="2"/>
        <v>0</v>
      </c>
      <c r="J21" s="192"/>
      <c r="K21" s="207" t="s">
        <v>255</v>
      </c>
      <c r="L21" s="208"/>
      <c r="M21" s="208"/>
      <c r="N21" s="208"/>
      <c r="O21" s="208"/>
      <c r="P21" s="209"/>
      <c r="Q21" s="194"/>
      <c r="R21" s="184"/>
      <c r="S21" s="188"/>
    </row>
    <row r="22" spans="1:19" ht="20.100000000000001" customHeight="1" x14ac:dyDescent="0.2">
      <c r="A22" s="77">
        <f t="shared" si="3"/>
        <v>43937</v>
      </c>
      <c r="B22" s="78">
        <f t="shared" si="0"/>
        <v>5</v>
      </c>
      <c r="C22" s="189">
        <v>9</v>
      </c>
      <c r="D22" s="190">
        <v>0</v>
      </c>
      <c r="E22" s="189">
        <v>18</v>
      </c>
      <c r="F22" s="190">
        <v>0</v>
      </c>
      <c r="G22" s="191" t="s">
        <v>256</v>
      </c>
      <c r="H22" s="59">
        <f t="shared" si="1"/>
        <v>8</v>
      </c>
      <c r="I22" s="60">
        <f t="shared" si="2"/>
        <v>0</v>
      </c>
      <c r="J22" s="192"/>
      <c r="K22" s="207" t="s">
        <v>255</v>
      </c>
      <c r="L22" s="208"/>
      <c r="M22" s="208"/>
      <c r="N22" s="208"/>
      <c r="O22" s="208"/>
      <c r="P22" s="209"/>
      <c r="Q22" s="194"/>
      <c r="R22" s="184"/>
      <c r="S22" s="188"/>
    </row>
    <row r="23" spans="1:19" ht="20.100000000000001" customHeight="1" x14ac:dyDescent="0.2">
      <c r="A23" s="77">
        <f t="shared" si="3"/>
        <v>43938</v>
      </c>
      <c r="B23" s="78">
        <f t="shared" si="0"/>
        <v>6</v>
      </c>
      <c r="C23" s="189">
        <v>9</v>
      </c>
      <c r="D23" s="190">
        <v>0</v>
      </c>
      <c r="E23" s="189">
        <v>18</v>
      </c>
      <c r="F23" s="190">
        <v>0</v>
      </c>
      <c r="G23" s="191" t="s">
        <v>256</v>
      </c>
      <c r="H23" s="59">
        <f>IF(C23="","",ROUNDDOWN(IF(C23&gt;=E23,((E23*60+F23)-(C23*60+D23)-G23+1440)/60,((E23*60+F23)-(C23*60+D23)-G23)/60),0))</f>
        <v>8</v>
      </c>
      <c r="I23" s="60">
        <f>IF(C23="","",MOD(IF(C23&gt;=E23,((E23*60+F23)-(C23*60+D23)-G23+1440),((E23*60+F23)-(C23*60+D23)-G23)),60))</f>
        <v>0</v>
      </c>
      <c r="J23" s="192"/>
      <c r="K23" s="207" t="s">
        <v>255</v>
      </c>
      <c r="L23" s="208"/>
      <c r="M23" s="208"/>
      <c r="N23" s="208"/>
      <c r="O23" s="208"/>
      <c r="P23" s="209"/>
      <c r="Q23" s="194"/>
      <c r="R23" s="184"/>
      <c r="S23" s="188"/>
    </row>
    <row r="24" spans="1:19" ht="20.100000000000001" customHeight="1" x14ac:dyDescent="0.2">
      <c r="A24" s="79">
        <f t="shared" si="3"/>
        <v>43939</v>
      </c>
      <c r="B24" s="80">
        <f t="shared" si="0"/>
        <v>7</v>
      </c>
      <c r="C24" s="189"/>
      <c r="D24" s="190"/>
      <c r="E24" s="189"/>
      <c r="F24" s="190"/>
      <c r="G24" s="191"/>
      <c r="H24" s="59" t="str">
        <f>IF(C24="","",ROUNDDOWN(IF(C24&gt;=E24,((E24*60+F24)-(C24*60+D24)-G24+1440)/60,((E24*60+F24)-(C24*60+D24)-G24)/60),0))</f>
        <v/>
      </c>
      <c r="I24" s="60" t="str">
        <f>IF(C24="","",MOD(IF(C24&gt;=E24,((E24*60+F24)-(C24*60+D24)-G24+1440),((E24*60+F24)-(C24*60+D24)-G24)),60))</f>
        <v/>
      </c>
      <c r="J24" s="192"/>
      <c r="K24" s="207"/>
      <c r="L24" s="208"/>
      <c r="M24" s="208"/>
      <c r="N24" s="208"/>
      <c r="O24" s="208"/>
      <c r="P24" s="209"/>
      <c r="Q24" s="194"/>
      <c r="R24" s="184"/>
      <c r="S24" s="188"/>
    </row>
    <row r="25" spans="1:19" ht="20.100000000000001" customHeight="1" x14ac:dyDescent="0.2">
      <c r="A25" s="79">
        <f t="shared" si="3"/>
        <v>43940</v>
      </c>
      <c r="B25" s="80">
        <f t="shared" si="0"/>
        <v>1</v>
      </c>
      <c r="C25" s="189"/>
      <c r="D25" s="190"/>
      <c r="E25" s="189"/>
      <c r="F25" s="190"/>
      <c r="G25" s="191"/>
      <c r="H25" s="59" t="str">
        <f t="shared" si="1"/>
        <v/>
      </c>
      <c r="I25" s="60" t="str">
        <f t="shared" si="2"/>
        <v/>
      </c>
      <c r="J25" s="192"/>
      <c r="K25" s="207"/>
      <c r="L25" s="208"/>
      <c r="M25" s="208"/>
      <c r="N25" s="208"/>
      <c r="O25" s="208"/>
      <c r="P25" s="209"/>
      <c r="Q25" s="194"/>
      <c r="R25" s="184"/>
      <c r="S25" s="188"/>
    </row>
    <row r="26" spans="1:19" ht="20.100000000000001" customHeight="1" x14ac:dyDescent="0.2">
      <c r="A26" s="77">
        <f t="shared" si="3"/>
        <v>43941</v>
      </c>
      <c r="B26" s="78">
        <f t="shared" si="0"/>
        <v>2</v>
      </c>
      <c r="C26" s="189">
        <v>9</v>
      </c>
      <c r="D26" s="190">
        <v>0</v>
      </c>
      <c r="E26" s="189">
        <v>18</v>
      </c>
      <c r="F26" s="190">
        <v>0</v>
      </c>
      <c r="G26" s="191" t="s">
        <v>256</v>
      </c>
      <c r="H26" s="59">
        <f t="shared" si="1"/>
        <v>8</v>
      </c>
      <c r="I26" s="60">
        <f t="shared" si="2"/>
        <v>0</v>
      </c>
      <c r="J26" s="192"/>
      <c r="K26" s="207" t="s">
        <v>255</v>
      </c>
      <c r="L26" s="208"/>
      <c r="M26" s="208"/>
      <c r="N26" s="208"/>
      <c r="O26" s="208"/>
      <c r="P26" s="209"/>
      <c r="Q26" s="194"/>
      <c r="R26" s="184"/>
      <c r="S26" s="188"/>
    </row>
    <row r="27" spans="1:19" ht="20.100000000000001" customHeight="1" x14ac:dyDescent="0.2">
      <c r="A27" s="77">
        <f t="shared" si="3"/>
        <v>43942</v>
      </c>
      <c r="B27" s="78">
        <f t="shared" si="0"/>
        <v>3</v>
      </c>
      <c r="C27" s="189">
        <v>9</v>
      </c>
      <c r="D27" s="190">
        <v>0</v>
      </c>
      <c r="E27" s="189">
        <v>18</v>
      </c>
      <c r="F27" s="190">
        <v>0</v>
      </c>
      <c r="G27" s="191" t="s">
        <v>256</v>
      </c>
      <c r="H27" s="59">
        <f t="shared" si="1"/>
        <v>8</v>
      </c>
      <c r="I27" s="60">
        <f t="shared" si="2"/>
        <v>0</v>
      </c>
      <c r="J27" s="192"/>
      <c r="K27" s="207" t="s">
        <v>255</v>
      </c>
      <c r="L27" s="208"/>
      <c r="M27" s="208"/>
      <c r="N27" s="208"/>
      <c r="O27" s="208"/>
      <c r="P27" s="209"/>
      <c r="Q27" s="194"/>
      <c r="R27" s="184"/>
      <c r="S27" s="188"/>
    </row>
    <row r="28" spans="1:19" ht="20.100000000000001" customHeight="1" x14ac:dyDescent="0.2">
      <c r="A28" s="77">
        <f t="shared" si="3"/>
        <v>43943</v>
      </c>
      <c r="B28" s="78">
        <f t="shared" si="0"/>
        <v>4</v>
      </c>
      <c r="C28" s="189">
        <v>9</v>
      </c>
      <c r="D28" s="190">
        <v>0</v>
      </c>
      <c r="E28" s="189">
        <v>18</v>
      </c>
      <c r="F28" s="190">
        <v>0</v>
      </c>
      <c r="G28" s="191" t="s">
        <v>256</v>
      </c>
      <c r="H28" s="59">
        <f t="shared" si="1"/>
        <v>8</v>
      </c>
      <c r="I28" s="60">
        <f t="shared" si="2"/>
        <v>0</v>
      </c>
      <c r="J28" s="192"/>
      <c r="K28" s="207" t="s">
        <v>255</v>
      </c>
      <c r="L28" s="208"/>
      <c r="M28" s="208"/>
      <c r="N28" s="208"/>
      <c r="O28" s="208"/>
      <c r="P28" s="209"/>
      <c r="Q28" s="194"/>
      <c r="R28" s="184"/>
      <c r="S28" s="188"/>
    </row>
    <row r="29" spans="1:19" ht="20.100000000000001" customHeight="1" x14ac:dyDescent="0.2">
      <c r="A29" s="77">
        <f t="shared" si="3"/>
        <v>43944</v>
      </c>
      <c r="B29" s="78">
        <f t="shared" si="0"/>
        <v>5</v>
      </c>
      <c r="C29" s="189">
        <v>9</v>
      </c>
      <c r="D29" s="190">
        <v>0</v>
      </c>
      <c r="E29" s="189">
        <v>18</v>
      </c>
      <c r="F29" s="190">
        <v>0</v>
      </c>
      <c r="G29" s="191" t="s">
        <v>256</v>
      </c>
      <c r="H29" s="59">
        <f t="shared" si="1"/>
        <v>8</v>
      </c>
      <c r="I29" s="60">
        <f t="shared" si="2"/>
        <v>0</v>
      </c>
      <c r="J29" s="192"/>
      <c r="K29" s="207" t="s">
        <v>255</v>
      </c>
      <c r="L29" s="208"/>
      <c r="M29" s="208"/>
      <c r="N29" s="208"/>
      <c r="O29" s="208"/>
      <c r="P29" s="209"/>
      <c r="Q29" s="194"/>
      <c r="R29" s="184"/>
      <c r="S29" s="188"/>
    </row>
    <row r="30" spans="1:19" ht="20.100000000000001" customHeight="1" x14ac:dyDescent="0.2">
      <c r="A30" s="77">
        <f t="shared" si="3"/>
        <v>43945</v>
      </c>
      <c r="B30" s="78">
        <f t="shared" si="0"/>
        <v>6</v>
      </c>
      <c r="C30" s="189">
        <v>9</v>
      </c>
      <c r="D30" s="190">
        <v>0</v>
      </c>
      <c r="E30" s="189">
        <v>18</v>
      </c>
      <c r="F30" s="190">
        <v>0</v>
      </c>
      <c r="G30" s="191" t="s">
        <v>256</v>
      </c>
      <c r="H30" s="59">
        <f t="shared" si="1"/>
        <v>8</v>
      </c>
      <c r="I30" s="60">
        <f t="shared" si="2"/>
        <v>0</v>
      </c>
      <c r="J30" s="192"/>
      <c r="K30" s="207" t="s">
        <v>255</v>
      </c>
      <c r="L30" s="208"/>
      <c r="M30" s="208"/>
      <c r="N30" s="208"/>
      <c r="O30" s="208"/>
      <c r="P30" s="209"/>
      <c r="Q30" s="194"/>
      <c r="R30" s="185"/>
      <c r="S30" s="188"/>
    </row>
    <row r="31" spans="1:19" ht="20.100000000000001" customHeight="1" x14ac:dyDescent="0.2">
      <c r="A31" s="79">
        <f t="shared" si="3"/>
        <v>43946</v>
      </c>
      <c r="B31" s="80">
        <f t="shared" si="0"/>
        <v>7</v>
      </c>
      <c r="C31" s="189"/>
      <c r="D31" s="190"/>
      <c r="E31" s="189"/>
      <c r="F31" s="190"/>
      <c r="G31" s="191"/>
      <c r="H31" s="59" t="str">
        <f t="shared" si="1"/>
        <v/>
      </c>
      <c r="I31" s="60" t="str">
        <f t="shared" si="2"/>
        <v/>
      </c>
      <c r="J31" s="192"/>
      <c r="K31" s="207"/>
      <c r="L31" s="208"/>
      <c r="M31" s="208"/>
      <c r="N31" s="208"/>
      <c r="O31" s="208"/>
      <c r="P31" s="209"/>
      <c r="Q31" s="194"/>
      <c r="R31" s="185"/>
      <c r="S31" s="188"/>
    </row>
    <row r="32" spans="1:19" ht="20.100000000000001" customHeight="1" x14ac:dyDescent="0.2">
      <c r="A32" s="79">
        <f t="shared" si="3"/>
        <v>43947</v>
      </c>
      <c r="B32" s="80">
        <f t="shared" si="0"/>
        <v>1</v>
      </c>
      <c r="C32" s="189"/>
      <c r="D32" s="190"/>
      <c r="E32" s="189"/>
      <c r="F32" s="190"/>
      <c r="G32" s="191"/>
      <c r="H32" s="59" t="str">
        <f t="shared" si="1"/>
        <v/>
      </c>
      <c r="I32" s="60" t="str">
        <f t="shared" si="2"/>
        <v/>
      </c>
      <c r="J32" s="192"/>
      <c r="K32" s="207"/>
      <c r="L32" s="208"/>
      <c r="M32" s="208"/>
      <c r="N32" s="208"/>
      <c r="O32" s="208"/>
      <c r="P32" s="209"/>
      <c r="Q32" s="194"/>
      <c r="R32" s="184"/>
      <c r="S32" s="188"/>
    </row>
    <row r="33" spans="1:24" ht="20.100000000000001" customHeight="1" x14ac:dyDescent="0.2">
      <c r="A33" s="77">
        <f t="shared" si="3"/>
        <v>43948</v>
      </c>
      <c r="B33" s="78">
        <f t="shared" si="0"/>
        <v>2</v>
      </c>
      <c r="C33" s="189">
        <v>9</v>
      </c>
      <c r="D33" s="190">
        <v>0</v>
      </c>
      <c r="E33" s="189">
        <v>18</v>
      </c>
      <c r="F33" s="190">
        <v>0</v>
      </c>
      <c r="G33" s="191" t="s">
        <v>256</v>
      </c>
      <c r="H33" s="59">
        <f t="shared" si="1"/>
        <v>8</v>
      </c>
      <c r="I33" s="60">
        <f t="shared" si="2"/>
        <v>0</v>
      </c>
      <c r="J33" s="192"/>
      <c r="K33" s="207" t="s">
        <v>255</v>
      </c>
      <c r="L33" s="208"/>
      <c r="M33" s="208"/>
      <c r="N33" s="208"/>
      <c r="O33" s="208"/>
      <c r="P33" s="209"/>
      <c r="Q33" s="194"/>
      <c r="R33" s="184"/>
      <c r="S33" s="188"/>
    </row>
    <row r="34" spans="1:24" ht="20.100000000000001" customHeight="1" x14ac:dyDescent="0.2">
      <c r="A34" s="77">
        <f t="shared" si="3"/>
        <v>43949</v>
      </c>
      <c r="B34" s="78">
        <f t="shared" si="0"/>
        <v>3</v>
      </c>
      <c r="C34" s="189">
        <v>9</v>
      </c>
      <c r="D34" s="190">
        <v>0</v>
      </c>
      <c r="E34" s="189">
        <v>18</v>
      </c>
      <c r="F34" s="190">
        <v>0</v>
      </c>
      <c r="G34" s="191" t="s">
        <v>256</v>
      </c>
      <c r="H34" s="59">
        <f t="shared" si="1"/>
        <v>8</v>
      </c>
      <c r="I34" s="60">
        <f t="shared" si="2"/>
        <v>0</v>
      </c>
      <c r="J34" s="192"/>
      <c r="K34" s="207" t="s">
        <v>255</v>
      </c>
      <c r="L34" s="208"/>
      <c r="M34" s="208"/>
      <c r="N34" s="208"/>
      <c r="O34" s="208"/>
      <c r="P34" s="209"/>
      <c r="Q34" s="194"/>
      <c r="R34" s="185"/>
      <c r="S34" s="188"/>
    </row>
    <row r="35" spans="1:24" ht="20.100000000000001" customHeight="1" x14ac:dyDescent="0.2">
      <c r="A35" s="79">
        <f>IF(MONTH(A34+1)=D1,(A34+1)," ")</f>
        <v>43950</v>
      </c>
      <c r="B35" s="80">
        <f>IF(A35=" "," ",WEEKDAY(A35))</f>
        <v>4</v>
      </c>
      <c r="C35" s="189"/>
      <c r="D35" s="190"/>
      <c r="E35" s="189"/>
      <c r="F35" s="190"/>
      <c r="G35" s="191"/>
      <c r="H35" s="59" t="str">
        <f t="shared" si="1"/>
        <v/>
      </c>
      <c r="I35" s="60" t="str">
        <f t="shared" si="2"/>
        <v/>
      </c>
      <c r="J35" s="192"/>
      <c r="K35" s="207"/>
      <c r="L35" s="208"/>
      <c r="M35" s="208"/>
      <c r="N35" s="208"/>
      <c r="O35" s="208"/>
      <c r="P35" s="209"/>
      <c r="Q35" s="194"/>
      <c r="R35" s="184"/>
      <c r="S35" s="188"/>
    </row>
    <row r="36" spans="1:24" ht="20.100000000000001" customHeight="1" x14ac:dyDescent="0.2">
      <c r="A36" s="77">
        <f>IF(A35=" "," ",IF(MONTH(A35+1)=D1,(A35+1)," "))</f>
        <v>43951</v>
      </c>
      <c r="B36" s="78">
        <f>IF(A36=" "," ",WEEKDAY(A36))</f>
        <v>5</v>
      </c>
      <c r="C36" s="189">
        <v>9</v>
      </c>
      <c r="D36" s="190">
        <v>0</v>
      </c>
      <c r="E36" s="189">
        <v>18</v>
      </c>
      <c r="F36" s="190">
        <v>0</v>
      </c>
      <c r="G36" s="191" t="s">
        <v>256</v>
      </c>
      <c r="H36" s="59">
        <f t="shared" si="1"/>
        <v>8</v>
      </c>
      <c r="I36" s="60">
        <f t="shared" si="2"/>
        <v>0</v>
      </c>
      <c r="J36" s="192"/>
      <c r="K36" s="207" t="s">
        <v>255</v>
      </c>
      <c r="L36" s="208"/>
      <c r="M36" s="208"/>
      <c r="N36" s="208"/>
      <c r="O36" s="208"/>
      <c r="P36" s="209"/>
      <c r="Q36" s="194"/>
      <c r="R36" s="185"/>
      <c r="S36" s="188"/>
    </row>
    <row r="37" spans="1:24" ht="20.100000000000001" customHeight="1" thickBot="1" x14ac:dyDescent="0.25">
      <c r="A37" s="77" t="str">
        <f>IF(A36=" "," ",IF(MONTH(A36+1)=D1,(A36+1)," "))</f>
        <v xml:space="preserve"> </v>
      </c>
      <c r="B37" s="271" t="str">
        <f>IF(A37=" "," ",WEEKDAY(A37))</f>
        <v xml:space="preserve"> </v>
      </c>
      <c r="C37" s="189"/>
      <c r="D37" s="190"/>
      <c r="E37" s="189"/>
      <c r="F37" s="190"/>
      <c r="G37" s="191"/>
      <c r="H37" s="59" t="str">
        <f t="shared" si="1"/>
        <v/>
      </c>
      <c r="I37" s="60" t="str">
        <f t="shared" si="2"/>
        <v/>
      </c>
      <c r="J37" s="192"/>
      <c r="K37" s="207"/>
      <c r="L37" s="208"/>
      <c r="M37" s="208"/>
      <c r="N37" s="208"/>
      <c r="O37" s="208"/>
      <c r="P37" s="209"/>
      <c r="Q37" s="195"/>
      <c r="R37" s="185"/>
      <c r="S37" s="188"/>
    </row>
    <row r="38" spans="1:24" ht="20.100000000000001" customHeight="1" x14ac:dyDescent="0.2">
      <c r="A38" s="61" t="s">
        <v>30</v>
      </c>
      <c r="B38" s="62" t="s">
        <v>31</v>
      </c>
      <c r="C38" s="127"/>
      <c r="D38" s="128">
        <v>0</v>
      </c>
      <c r="E38" s="63" t="s">
        <v>22</v>
      </c>
      <c r="F38" s="62" t="s">
        <v>32</v>
      </c>
      <c r="G38" s="63"/>
      <c r="H38" s="64">
        <v>0</v>
      </c>
      <c r="I38" s="63" t="s">
        <v>22</v>
      </c>
      <c r="J38" s="62" t="s">
        <v>33</v>
      </c>
      <c r="K38" s="63"/>
      <c r="L38" s="87">
        <v>0</v>
      </c>
      <c r="M38" s="63" t="s">
        <v>22</v>
      </c>
      <c r="N38" s="51" t="s">
        <v>34</v>
      </c>
      <c r="O38" s="52"/>
      <c r="P38" s="86">
        <v>0</v>
      </c>
      <c r="Q38" s="53" t="s">
        <v>22</v>
      </c>
      <c r="R38" s="184" t="str">
        <f>IF(COUNTA(R7:R37)&lt;&gt;0,"○","")</f>
        <v/>
      </c>
      <c r="S38" s="188">
        <f>SUM(S7:S37)</f>
        <v>0</v>
      </c>
    </row>
    <row r="39" spans="1:24" ht="20.100000000000001" customHeight="1" thickBot="1" x14ac:dyDescent="0.25">
      <c r="A39" s="65" t="s">
        <v>35</v>
      </c>
      <c r="B39" s="66" t="s">
        <v>36</v>
      </c>
      <c r="C39" s="67"/>
      <c r="D39" s="68">
        <f>ROUNDDOWN(((SUM(H7:H37)*60)+SUM(I7:I37))/60,0)</f>
        <v>164</v>
      </c>
      <c r="E39" s="58" t="s">
        <v>37</v>
      </c>
      <c r="F39" s="69">
        <f>IF(MOD(SUM(I7:I37),30)&lt;&gt;0,MOD(SUM(I7:I37)-15,60),MOD(SUM(I7:I37),60))</f>
        <v>0</v>
      </c>
      <c r="G39" s="58" t="s">
        <v>25</v>
      </c>
      <c r="H39" s="57" t="s">
        <v>38</v>
      </c>
      <c r="I39" s="58"/>
      <c r="J39" s="92">
        <f>INT(SUM(Q7:Q37))</f>
        <v>0</v>
      </c>
      <c r="K39" s="58" t="s">
        <v>37</v>
      </c>
      <c r="L39" s="93">
        <f>IF(SUM(Q7:Q37)=INT(SUM(Q7:Q37)),0,30)</f>
        <v>0</v>
      </c>
      <c r="M39" s="58" t="s">
        <v>25</v>
      </c>
      <c r="N39" s="66" t="s">
        <v>39</v>
      </c>
      <c r="O39" s="82"/>
      <c r="P39" s="85">
        <v>0</v>
      </c>
      <c r="Q39" s="83" t="s">
        <v>22</v>
      </c>
    </row>
    <row r="40" spans="1:24" x14ac:dyDescent="0.2">
      <c r="B40" s="70" t="s">
        <v>40</v>
      </c>
    </row>
    <row r="41" spans="1:24" ht="12" customHeight="1" x14ac:dyDescent="0.2">
      <c r="A41" s="210" t="s">
        <v>87</v>
      </c>
      <c r="B41" s="211"/>
      <c r="C41" s="94" t="s">
        <v>17</v>
      </c>
      <c r="D41" s="95"/>
      <c r="E41" s="94" t="s">
        <v>18</v>
      </c>
      <c r="F41" s="95"/>
      <c r="G41" s="96" t="s">
        <v>19</v>
      </c>
    </row>
    <row r="42" spans="1:24" ht="12" customHeight="1" x14ac:dyDescent="0.2">
      <c r="A42" s="212"/>
      <c r="B42" s="213"/>
      <c r="C42" s="97" t="s">
        <v>24</v>
      </c>
      <c r="D42" s="98" t="s">
        <v>25</v>
      </c>
      <c r="E42" s="97" t="s">
        <v>24</v>
      </c>
      <c r="F42" s="98" t="s">
        <v>25</v>
      </c>
      <c r="G42" s="96" t="s">
        <v>25</v>
      </c>
      <c r="H42" s="88" t="s">
        <v>88</v>
      </c>
      <c r="X42" s="84" t="s">
        <v>8</v>
      </c>
    </row>
    <row r="43" spans="1:24" ht="12" customHeight="1" x14ac:dyDescent="0.2">
      <c r="A43" s="196"/>
      <c r="B43" s="197" t="s">
        <v>138</v>
      </c>
      <c r="C43" s="198">
        <v>9</v>
      </c>
      <c r="D43" s="199">
        <v>0</v>
      </c>
      <c r="E43" s="200">
        <v>18</v>
      </c>
      <c r="F43" s="199">
        <v>0</v>
      </c>
      <c r="G43" s="201" t="s">
        <v>247</v>
      </c>
      <c r="H43" s="108" t="s">
        <v>140</v>
      </c>
      <c r="I43" s="99"/>
      <c r="X43" s="84"/>
    </row>
    <row r="44" spans="1:24" ht="12" customHeight="1" x14ac:dyDescent="0.2">
      <c r="A44" s="202"/>
      <c r="B44" s="197" t="s">
        <v>139</v>
      </c>
      <c r="C44" s="200"/>
      <c r="D44" s="199"/>
      <c r="E44" s="200"/>
      <c r="F44" s="199"/>
      <c r="G44" s="201"/>
      <c r="H44" s="108" t="s">
        <v>141</v>
      </c>
      <c r="X44" s="84" t="s">
        <v>9</v>
      </c>
    </row>
    <row r="45" spans="1:24" x14ac:dyDescent="0.2">
      <c r="X45" s="84" t="s">
        <v>10</v>
      </c>
    </row>
    <row r="46" spans="1:24" x14ac:dyDescent="0.2">
      <c r="A46"/>
      <c r="B46"/>
      <c r="C46"/>
      <c r="D46"/>
      <c r="E46"/>
      <c r="F46"/>
      <c r="G46"/>
      <c r="H46"/>
      <c r="I46"/>
      <c r="J46"/>
      <c r="K46"/>
      <c r="L46"/>
      <c r="M46"/>
      <c r="N46"/>
      <c r="O46"/>
      <c r="P46"/>
      <c r="Q46"/>
      <c r="X46" s="84" t="s">
        <v>82</v>
      </c>
    </row>
    <row r="47" spans="1:24" x14ac:dyDescent="0.2">
      <c r="A47"/>
      <c r="B47"/>
      <c r="C47"/>
      <c r="D47"/>
      <c r="E47"/>
      <c r="F47"/>
      <c r="G47"/>
      <c r="H47"/>
      <c r="I47"/>
      <c r="J47"/>
      <c r="K47"/>
      <c r="L47"/>
      <c r="M47"/>
      <c r="N47"/>
      <c r="O47"/>
      <c r="P47"/>
      <c r="Q47"/>
      <c r="X47" s="84" t="s">
        <v>83</v>
      </c>
    </row>
    <row r="48" spans="1:24" x14ac:dyDescent="0.2">
      <c r="A48"/>
      <c r="B48"/>
      <c r="C48"/>
      <c r="D48"/>
      <c r="E48"/>
      <c r="F48"/>
      <c r="G48"/>
      <c r="H48"/>
      <c r="I48"/>
      <c r="J48"/>
      <c r="K48"/>
      <c r="L48"/>
      <c r="M48"/>
      <c r="N48"/>
      <c r="O48"/>
      <c r="P48"/>
      <c r="Q48"/>
      <c r="X48" s="84" t="s">
        <v>75</v>
      </c>
    </row>
    <row r="49" spans="1:24" x14ac:dyDescent="0.2">
      <c r="A49"/>
      <c r="B49"/>
      <c r="C49"/>
      <c r="D49"/>
      <c r="E49"/>
      <c r="F49"/>
      <c r="G49"/>
      <c r="H49"/>
      <c r="I49"/>
      <c r="J49"/>
      <c r="K49"/>
      <c r="L49"/>
      <c r="M49"/>
      <c r="N49"/>
      <c r="O49"/>
      <c r="P49"/>
      <c r="Q49"/>
      <c r="X49" s="84" t="s">
        <v>201</v>
      </c>
    </row>
    <row r="50" spans="1:24" x14ac:dyDescent="0.2">
      <c r="A50"/>
      <c r="B50"/>
      <c r="C50"/>
      <c r="D50"/>
      <c r="E50"/>
      <c r="F50"/>
      <c r="G50"/>
      <c r="H50"/>
      <c r="I50"/>
      <c r="J50"/>
      <c r="K50"/>
      <c r="L50"/>
      <c r="M50"/>
      <c r="N50"/>
      <c r="O50"/>
      <c r="P50"/>
      <c r="Q50"/>
      <c r="X50" s="84" t="s">
        <v>202</v>
      </c>
    </row>
    <row r="51" spans="1:24" x14ac:dyDescent="0.2">
      <c r="X51" s="84" t="s">
        <v>11</v>
      </c>
    </row>
    <row r="52" spans="1:24" x14ac:dyDescent="0.2">
      <c r="X52" s="84" t="s">
        <v>73</v>
      </c>
    </row>
    <row r="53" spans="1:24" x14ac:dyDescent="0.2">
      <c r="X53" s="84" t="s">
        <v>74</v>
      </c>
    </row>
    <row r="54" spans="1:24" x14ac:dyDescent="0.2">
      <c r="X54" s="84" t="s">
        <v>118</v>
      </c>
    </row>
    <row r="55" spans="1:24" x14ac:dyDescent="0.2">
      <c r="X55" s="84" t="s">
        <v>86</v>
      </c>
    </row>
    <row r="56" spans="1:24" x14ac:dyDescent="0.2">
      <c r="X56" s="131" t="s">
        <v>250</v>
      </c>
    </row>
  </sheetData>
  <sheetProtection algorithmName="SHA-512" hashValue="01Qrymp/Tejd0ecNU1DZkLUSA90OLtmgA2HOv3BxotbRjMV15XZSzcKv2yK2SZLF6FTr2XhbTUYbaMGWOu/PfA==" saltValue="7WhGDU+SbRaZR7yGne0uAw==" spinCount="100000" sheet="1" objects="1" scenarios="1"/>
  <dataConsolidate/>
  <mergeCells count="35">
    <mergeCell ref="A3:C3"/>
    <mergeCell ref="I3:O3"/>
    <mergeCell ref="K12:P12"/>
    <mergeCell ref="K8:P8"/>
    <mergeCell ref="K9:P9"/>
    <mergeCell ref="K10:P10"/>
    <mergeCell ref="K11:P11"/>
    <mergeCell ref="D3:G3"/>
    <mergeCell ref="K37:P37"/>
    <mergeCell ref="K7:P7"/>
    <mergeCell ref="A41:B42"/>
    <mergeCell ref="K24:P24"/>
    <mergeCell ref="K28:P28"/>
    <mergeCell ref="K36:P36"/>
    <mergeCell ref="K32:P32"/>
    <mergeCell ref="K18:P18"/>
    <mergeCell ref="K19:P19"/>
    <mergeCell ref="K23:P23"/>
    <mergeCell ref="K31:P31"/>
    <mergeCell ref="K30:P30"/>
    <mergeCell ref="K20:P20"/>
    <mergeCell ref="K21:P21"/>
    <mergeCell ref="K26:P26"/>
    <mergeCell ref="K27:P27"/>
    <mergeCell ref="K33:P33"/>
    <mergeCell ref="K34:P34"/>
    <mergeCell ref="K35:P35"/>
    <mergeCell ref="K13:P13"/>
    <mergeCell ref="K14:P14"/>
    <mergeCell ref="K15:P15"/>
    <mergeCell ref="K25:P25"/>
    <mergeCell ref="K16:P16"/>
    <mergeCell ref="K17:P17"/>
    <mergeCell ref="K22:P22"/>
    <mergeCell ref="K29:P29"/>
  </mergeCells>
  <phoneticPr fontId="22"/>
  <dataValidations count="1">
    <dataValidation type="list" allowBlank="1" showInputMessage="1" showErrorMessage="1" sqref="J7:J37" xr:uid="{4842CAB7-AD47-42E2-8D1C-BF6A0990D68F}">
      <formula1>$X$44:$X$56</formula1>
    </dataValidation>
  </dataValidations>
  <pageMargins left="0.75" right="0.75" top="1" bottom="1" header="0.5" footer="0.5"/>
  <pageSetup paperSize="9" scale="9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Line="0" autoPict="0" macro="[0]!print_monthly">
                <anchor moveWithCells="1" sizeWithCells="1">
                  <from>
                    <xdr:col>20</xdr:col>
                    <xdr:colOff>76200</xdr:colOff>
                    <xdr:row>1</xdr:row>
                    <xdr:rowOff>144780</xdr:rowOff>
                  </from>
                  <to>
                    <xdr:col>21</xdr:col>
                    <xdr:colOff>495300</xdr:colOff>
                    <xdr:row>2</xdr:row>
                    <xdr:rowOff>259080</xdr:rowOff>
                  </to>
                </anchor>
              </controlPr>
            </control>
          </mc:Choice>
        </mc:AlternateContent>
        <mc:AlternateContent xmlns:mc="http://schemas.openxmlformats.org/markup-compatibility/2006">
          <mc:Choice Requires="x14">
            <control shapeId="2064" r:id="rId5" name="Button 16">
              <controlPr defaultSize="0" print="0" autoFill="0" autoLine="0" autoPict="0" macro="[0]!set_unlock">
                <anchor moveWithCells="1" sizeWithCells="1">
                  <from>
                    <xdr:col>20</xdr:col>
                    <xdr:colOff>83820</xdr:colOff>
                    <xdr:row>4</xdr:row>
                    <xdr:rowOff>99060</xdr:rowOff>
                  </from>
                  <to>
                    <xdr:col>21</xdr:col>
                    <xdr:colOff>510540</xdr:colOff>
                    <xdr:row>5</xdr:row>
                    <xdr:rowOff>144780</xdr:rowOff>
                  </to>
                </anchor>
              </controlPr>
            </control>
          </mc:Choice>
        </mc:AlternateContent>
        <mc:AlternateContent xmlns:mc="http://schemas.openxmlformats.org/markup-compatibility/2006">
          <mc:Choice Requires="x14">
            <control shapeId="2065" r:id="rId6" name="Button 17">
              <controlPr defaultSize="0" print="0" autoFill="0" autoLine="0" autoPict="0" macro="[0]!check_input">
                <anchor moveWithCells="1" sizeWithCells="1">
                  <from>
                    <xdr:col>20</xdr:col>
                    <xdr:colOff>83820</xdr:colOff>
                    <xdr:row>6</xdr:row>
                    <xdr:rowOff>7620</xdr:rowOff>
                  </from>
                  <to>
                    <xdr:col>21</xdr:col>
                    <xdr:colOff>510540</xdr:colOff>
                    <xdr:row>7</xdr:row>
                    <xdr:rowOff>53340</xdr:rowOff>
                  </to>
                </anchor>
              </controlPr>
            </control>
          </mc:Choice>
        </mc:AlternateContent>
        <mc:AlternateContent xmlns:mc="http://schemas.openxmlformats.org/markup-compatibility/2006">
          <mc:Choice Requires="x14">
            <control shapeId="2078" r:id="rId7" name="Button 30">
              <controlPr defaultSize="0" print="0" autoFill="0" autoLine="0" autoPict="0" macro="[0]!print_total_only">
                <anchor moveWithCells="1" sizeWithCells="1">
                  <from>
                    <xdr:col>20</xdr:col>
                    <xdr:colOff>76200</xdr:colOff>
                    <xdr:row>2</xdr:row>
                    <xdr:rowOff>381000</xdr:rowOff>
                  </from>
                  <to>
                    <xdr:col>21</xdr:col>
                    <xdr:colOff>495300</xdr:colOff>
                    <xdr:row>3</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5FD81-1063-484F-8A0A-05E1E256EEEB}">
  <sheetPr codeName="Sheet3"/>
  <dimension ref="A1:K83"/>
  <sheetViews>
    <sheetView zoomScaleNormal="100" workbookViewId="0"/>
  </sheetViews>
  <sheetFormatPr defaultRowHeight="13.2" x14ac:dyDescent="0.2"/>
  <cols>
    <col min="1" max="1" width="10.44140625" bestFit="1" customWidth="1"/>
    <col min="2" max="2" width="8" bestFit="1" customWidth="1"/>
    <col min="3" max="3" width="17.21875" customWidth="1"/>
    <col min="4" max="4" width="12.6640625" customWidth="1"/>
    <col min="5" max="5" width="2.33203125" customWidth="1"/>
    <col min="6" max="6" width="12.6640625" customWidth="1"/>
    <col min="7" max="7" width="6.21875" bestFit="1" customWidth="1"/>
    <col min="8" max="8" width="7.6640625" customWidth="1"/>
    <col min="9" max="9" width="9.6640625" bestFit="1" customWidth="1"/>
    <col min="10" max="10" width="12" customWidth="1"/>
    <col min="11" max="11" width="34.6640625" bestFit="1" customWidth="1"/>
  </cols>
  <sheetData>
    <row r="1" spans="1:11" ht="21.6" thickBot="1" x14ac:dyDescent="0.3">
      <c r="A1" s="132" t="s">
        <v>169</v>
      </c>
      <c r="D1" s="232" t="str">
        <f>CONCATENATE(祝日表!A2,"年",祝日表!B2,"月度")</f>
        <v>2020年4月度</v>
      </c>
      <c r="E1" s="233"/>
      <c r="J1" s="133"/>
      <c r="K1" s="156" t="str">
        <f>祝日表!L2</f>
        <v>GREEN</v>
      </c>
    </row>
    <row r="2" spans="1:11" x14ac:dyDescent="0.2">
      <c r="J2" s="133"/>
    </row>
    <row r="3" spans="1:11" x14ac:dyDescent="0.2">
      <c r="A3" s="135" t="s">
        <v>170</v>
      </c>
      <c r="B3" s="240" t="s">
        <v>230</v>
      </c>
      <c r="C3" s="241"/>
      <c r="D3" s="241"/>
      <c r="E3" s="241"/>
      <c r="F3" s="242"/>
      <c r="G3" s="168" t="s">
        <v>172</v>
      </c>
      <c r="H3" s="134"/>
      <c r="I3" s="134"/>
      <c r="J3" s="134"/>
      <c r="K3" s="134"/>
    </row>
    <row r="4" spans="1:11" ht="30" customHeight="1" x14ac:dyDescent="0.2">
      <c r="A4" s="159" t="str">
        <f>祝日表!C2</f>
        <v>xxx</v>
      </c>
      <c r="B4" s="243" t="str">
        <f>祝日表!D2</f>
        <v>xxx</v>
      </c>
      <c r="C4" s="244"/>
      <c r="D4" s="244"/>
      <c r="E4" s="244"/>
      <c r="F4" s="245"/>
      <c r="G4" s="158"/>
      <c r="H4" s="134"/>
      <c r="I4" s="134"/>
      <c r="J4" s="134"/>
      <c r="K4" s="134"/>
    </row>
    <row r="5" spans="1:11" x14ac:dyDescent="0.2">
      <c r="A5" s="134"/>
      <c r="B5" s="134"/>
      <c r="C5" s="134"/>
      <c r="D5" s="134"/>
      <c r="E5" s="134"/>
      <c r="F5" s="134"/>
      <c r="G5" s="134"/>
      <c r="H5" s="134"/>
      <c r="I5" s="134"/>
      <c r="J5" s="134"/>
      <c r="K5" s="134"/>
    </row>
    <row r="6" spans="1:11" x14ac:dyDescent="0.2">
      <c r="A6" s="134"/>
      <c r="B6" s="134"/>
      <c r="C6" s="134"/>
      <c r="D6" s="134"/>
      <c r="E6" s="134"/>
      <c r="F6" s="134"/>
      <c r="G6" s="134"/>
      <c r="H6" s="134"/>
      <c r="I6" s="134"/>
      <c r="J6" s="134"/>
      <c r="K6" s="134"/>
    </row>
    <row r="7" spans="1:11" ht="15" customHeight="1" thickBot="1" x14ac:dyDescent="0.25">
      <c r="A7" s="136" t="s">
        <v>244</v>
      </c>
      <c r="B7" s="162"/>
      <c r="C7" s="162"/>
      <c r="D7" s="162"/>
      <c r="E7" s="161"/>
      <c r="F7" s="162"/>
      <c r="G7" s="162"/>
      <c r="H7" s="163"/>
      <c r="I7" s="163"/>
      <c r="J7" s="164"/>
      <c r="K7" s="162"/>
    </row>
    <row r="8" spans="1:11" ht="13.8" thickBot="1" x14ac:dyDescent="0.25">
      <c r="A8" s="137" t="s">
        <v>173</v>
      </c>
      <c r="B8" s="227" t="s">
        <v>241</v>
      </c>
      <c r="C8" s="228"/>
      <c r="D8" s="138" t="s">
        <v>175</v>
      </c>
      <c r="E8" s="138"/>
      <c r="F8" s="138" t="s">
        <v>176</v>
      </c>
      <c r="G8" s="227" t="s">
        <v>177</v>
      </c>
      <c r="H8" s="228"/>
      <c r="I8" s="138" t="s">
        <v>245</v>
      </c>
      <c r="J8" s="139" t="s">
        <v>178</v>
      </c>
      <c r="K8" s="140" t="s">
        <v>179</v>
      </c>
    </row>
    <row r="9" spans="1:11" ht="13.5" customHeight="1" x14ac:dyDescent="0.2">
      <c r="A9" s="144"/>
      <c r="B9" s="225"/>
      <c r="C9" s="226"/>
      <c r="D9" s="146"/>
      <c r="E9" s="145" t="s">
        <v>42</v>
      </c>
      <c r="F9" s="146"/>
      <c r="G9" s="223"/>
      <c r="H9" s="206"/>
      <c r="I9" s="178"/>
      <c r="J9" s="146"/>
      <c r="K9" s="147"/>
    </row>
    <row r="10" spans="1:11" ht="13.5" customHeight="1" x14ac:dyDescent="0.2">
      <c r="A10" s="144"/>
      <c r="B10" s="225"/>
      <c r="C10" s="226"/>
      <c r="D10" s="146"/>
      <c r="E10" s="145" t="s">
        <v>42</v>
      </c>
      <c r="F10" s="146"/>
      <c r="G10" s="223"/>
      <c r="H10" s="206"/>
      <c r="I10" s="178"/>
      <c r="J10" s="146"/>
      <c r="K10" s="147"/>
    </row>
    <row r="11" spans="1:11" ht="13.5" customHeight="1" x14ac:dyDescent="0.2">
      <c r="A11" s="144"/>
      <c r="B11" s="225"/>
      <c r="C11" s="226"/>
      <c r="D11" s="146"/>
      <c r="E11" s="145" t="s">
        <v>42</v>
      </c>
      <c r="F11" s="146"/>
      <c r="G11" s="223"/>
      <c r="H11" s="206"/>
      <c r="I11" s="178"/>
      <c r="J11" s="146"/>
      <c r="K11" s="147"/>
    </row>
    <row r="12" spans="1:11" ht="13.5" customHeight="1" x14ac:dyDescent="0.2">
      <c r="A12" s="144"/>
      <c r="B12" s="225"/>
      <c r="C12" s="226"/>
      <c r="D12" s="146"/>
      <c r="E12" s="145" t="s">
        <v>42</v>
      </c>
      <c r="F12" s="146"/>
      <c r="G12" s="223"/>
      <c r="H12" s="206"/>
      <c r="I12" s="178"/>
      <c r="J12" s="146"/>
      <c r="K12" s="147"/>
    </row>
    <row r="13" spans="1:11" ht="13.5" customHeight="1" x14ac:dyDescent="0.2">
      <c r="A13" s="144"/>
      <c r="B13" s="225"/>
      <c r="C13" s="226"/>
      <c r="D13" s="146"/>
      <c r="E13" s="145" t="s">
        <v>42</v>
      </c>
      <c r="F13" s="146"/>
      <c r="G13" s="223"/>
      <c r="H13" s="206"/>
      <c r="I13" s="178"/>
      <c r="J13" s="146"/>
      <c r="K13" s="147"/>
    </row>
    <row r="14" spans="1:11" ht="13.5" customHeight="1" x14ac:dyDescent="0.2">
      <c r="A14" s="144"/>
      <c r="B14" s="225"/>
      <c r="C14" s="226"/>
      <c r="D14" s="146"/>
      <c r="E14" s="145" t="s">
        <v>42</v>
      </c>
      <c r="F14" s="146"/>
      <c r="G14" s="223"/>
      <c r="H14" s="206"/>
      <c r="I14" s="178"/>
      <c r="J14" s="146"/>
      <c r="K14" s="147"/>
    </row>
    <row r="15" spans="1:11" ht="13.5" customHeight="1" x14ac:dyDescent="0.2">
      <c r="A15" s="144"/>
      <c r="B15" s="225"/>
      <c r="C15" s="226"/>
      <c r="D15" s="146"/>
      <c r="E15" s="145" t="s">
        <v>42</v>
      </c>
      <c r="F15" s="146"/>
      <c r="G15" s="223"/>
      <c r="H15" s="206"/>
      <c r="I15" s="178"/>
      <c r="J15" s="146"/>
      <c r="K15" s="147"/>
    </row>
    <row r="16" spans="1:11" ht="13.5" customHeight="1" x14ac:dyDescent="0.2">
      <c r="A16" s="144"/>
      <c r="B16" s="225"/>
      <c r="C16" s="226"/>
      <c r="D16" s="146"/>
      <c r="E16" s="145" t="s">
        <v>42</v>
      </c>
      <c r="F16" s="146"/>
      <c r="G16" s="223"/>
      <c r="H16" s="206"/>
      <c r="I16" s="178"/>
      <c r="J16" s="146"/>
      <c r="K16" s="147"/>
    </row>
    <row r="17" spans="1:11" ht="13.5" customHeight="1" x14ac:dyDescent="0.2">
      <c r="A17" s="144"/>
      <c r="B17" s="225"/>
      <c r="C17" s="226"/>
      <c r="D17" s="146"/>
      <c r="E17" s="145" t="s">
        <v>42</v>
      </c>
      <c r="F17" s="146"/>
      <c r="G17" s="223"/>
      <c r="H17" s="206"/>
      <c r="I17" s="178"/>
      <c r="J17" s="146"/>
      <c r="K17" s="147"/>
    </row>
    <row r="18" spans="1:11" ht="13.5" customHeight="1" x14ac:dyDescent="0.2">
      <c r="A18" s="144"/>
      <c r="B18" s="225"/>
      <c r="C18" s="226"/>
      <c r="D18" s="146"/>
      <c r="E18" s="145" t="s">
        <v>42</v>
      </c>
      <c r="F18" s="146"/>
      <c r="G18" s="223"/>
      <c r="H18" s="206"/>
      <c r="I18" s="178"/>
      <c r="J18" s="146"/>
      <c r="K18" s="147"/>
    </row>
    <row r="19" spans="1:11" ht="13.5" customHeight="1" x14ac:dyDescent="0.2">
      <c r="A19" s="144"/>
      <c r="B19" s="225"/>
      <c r="C19" s="226"/>
      <c r="D19" s="146"/>
      <c r="E19" s="145" t="s">
        <v>42</v>
      </c>
      <c r="F19" s="146"/>
      <c r="G19" s="223"/>
      <c r="H19" s="206"/>
      <c r="I19" s="178"/>
      <c r="J19" s="146"/>
      <c r="K19" s="147"/>
    </row>
    <row r="20" spans="1:11" ht="13.5" customHeight="1" x14ac:dyDescent="0.2">
      <c r="A20" s="144"/>
      <c r="B20" s="225"/>
      <c r="C20" s="226"/>
      <c r="D20" s="146"/>
      <c r="E20" s="145" t="s">
        <v>42</v>
      </c>
      <c r="F20" s="146"/>
      <c r="G20" s="223"/>
      <c r="H20" s="206"/>
      <c r="I20" s="178"/>
      <c r="J20" s="146"/>
      <c r="K20" s="147"/>
    </row>
    <row r="21" spans="1:11" ht="13.5" customHeight="1" x14ac:dyDescent="0.2">
      <c r="A21" s="144"/>
      <c r="B21" s="225"/>
      <c r="C21" s="226"/>
      <c r="D21" s="146"/>
      <c r="E21" s="145" t="s">
        <v>42</v>
      </c>
      <c r="F21" s="146"/>
      <c r="G21" s="223"/>
      <c r="H21" s="206"/>
      <c r="I21" s="178"/>
      <c r="J21" s="146"/>
      <c r="K21" s="147"/>
    </row>
    <row r="22" spans="1:11" ht="13.5" customHeight="1" x14ac:dyDescent="0.2">
      <c r="A22" s="144"/>
      <c r="B22" s="225"/>
      <c r="C22" s="226"/>
      <c r="D22" s="146"/>
      <c r="E22" s="145" t="s">
        <v>42</v>
      </c>
      <c r="F22" s="146"/>
      <c r="G22" s="223"/>
      <c r="H22" s="206"/>
      <c r="I22" s="178"/>
      <c r="J22" s="146"/>
      <c r="K22" s="147"/>
    </row>
    <row r="23" spans="1:11" ht="13.5" customHeight="1" x14ac:dyDescent="0.2">
      <c r="A23" s="144"/>
      <c r="B23" s="225"/>
      <c r="C23" s="226"/>
      <c r="D23" s="146"/>
      <c r="E23" s="145" t="s">
        <v>42</v>
      </c>
      <c r="F23" s="146"/>
      <c r="G23" s="223"/>
      <c r="H23" s="206"/>
      <c r="I23" s="178"/>
      <c r="J23" s="146"/>
      <c r="K23" s="147"/>
    </row>
    <row r="24" spans="1:11" ht="13.5" customHeight="1" x14ac:dyDescent="0.2">
      <c r="A24" s="144"/>
      <c r="B24" s="225"/>
      <c r="C24" s="226"/>
      <c r="D24" s="146"/>
      <c r="E24" s="145" t="s">
        <v>42</v>
      </c>
      <c r="F24" s="146"/>
      <c r="G24" s="223"/>
      <c r="H24" s="206"/>
      <c r="I24" s="178"/>
      <c r="J24" s="146"/>
      <c r="K24" s="147"/>
    </row>
    <row r="25" spans="1:11" ht="13.5" customHeight="1" x14ac:dyDescent="0.2">
      <c r="A25" s="144"/>
      <c r="B25" s="225"/>
      <c r="C25" s="226"/>
      <c r="D25" s="146"/>
      <c r="E25" s="145" t="s">
        <v>42</v>
      </c>
      <c r="F25" s="146"/>
      <c r="G25" s="223"/>
      <c r="H25" s="206"/>
      <c r="I25" s="178"/>
      <c r="J25" s="146"/>
      <c r="K25" s="147"/>
    </row>
    <row r="26" spans="1:11" ht="13.5" customHeight="1" x14ac:dyDescent="0.2">
      <c r="A26" s="144"/>
      <c r="B26" s="225"/>
      <c r="C26" s="226"/>
      <c r="D26" s="146"/>
      <c r="E26" s="145" t="s">
        <v>42</v>
      </c>
      <c r="F26" s="146"/>
      <c r="G26" s="223"/>
      <c r="H26" s="206"/>
      <c r="I26" s="178"/>
      <c r="J26" s="146"/>
      <c r="K26" s="147"/>
    </row>
    <row r="27" spans="1:11" ht="13.5" customHeight="1" x14ac:dyDescent="0.2">
      <c r="A27" s="144"/>
      <c r="B27" s="223"/>
      <c r="C27" s="206"/>
      <c r="D27" s="146"/>
      <c r="E27" s="145" t="s">
        <v>42</v>
      </c>
      <c r="F27" s="146"/>
      <c r="G27" s="223"/>
      <c r="H27" s="206"/>
      <c r="I27" s="178"/>
      <c r="J27" s="146"/>
      <c r="K27" s="147"/>
    </row>
    <row r="28" spans="1:11" ht="13.5" customHeight="1" x14ac:dyDescent="0.2">
      <c r="A28" s="144"/>
      <c r="B28" s="223"/>
      <c r="C28" s="206"/>
      <c r="D28" s="146"/>
      <c r="E28" s="145" t="s">
        <v>42</v>
      </c>
      <c r="F28" s="146"/>
      <c r="G28" s="223"/>
      <c r="H28" s="206"/>
      <c r="I28" s="178"/>
      <c r="J28" s="146"/>
      <c r="K28" s="147"/>
    </row>
    <row r="29" spans="1:11" ht="13.5" customHeight="1" x14ac:dyDescent="0.2">
      <c r="A29" s="144"/>
      <c r="B29" s="223"/>
      <c r="C29" s="206"/>
      <c r="D29" s="146"/>
      <c r="E29" s="145" t="s">
        <v>42</v>
      </c>
      <c r="F29" s="146"/>
      <c r="G29" s="223"/>
      <c r="H29" s="206"/>
      <c r="I29" s="178"/>
      <c r="J29" s="146"/>
      <c r="K29" s="147"/>
    </row>
    <row r="30" spans="1:11" ht="13.5" customHeight="1" x14ac:dyDescent="0.2">
      <c r="A30" s="144"/>
      <c r="B30" s="223"/>
      <c r="C30" s="206"/>
      <c r="D30" s="146"/>
      <c r="E30" s="145" t="s">
        <v>42</v>
      </c>
      <c r="F30" s="146"/>
      <c r="G30" s="223"/>
      <c r="H30" s="206"/>
      <c r="I30" s="178"/>
      <c r="J30" s="146"/>
      <c r="K30" s="147"/>
    </row>
    <row r="31" spans="1:11" ht="13.5" customHeight="1" x14ac:dyDescent="0.2">
      <c r="A31" s="144"/>
      <c r="B31" s="223"/>
      <c r="C31" s="206"/>
      <c r="D31" s="146"/>
      <c r="E31" s="145" t="s">
        <v>42</v>
      </c>
      <c r="F31" s="146"/>
      <c r="G31" s="223"/>
      <c r="H31" s="206"/>
      <c r="I31" s="178"/>
      <c r="J31" s="146"/>
      <c r="K31" s="147"/>
    </row>
    <row r="32" spans="1:11" ht="13.5" customHeight="1" x14ac:dyDescent="0.2">
      <c r="A32" s="144"/>
      <c r="B32" s="223"/>
      <c r="C32" s="206"/>
      <c r="D32" s="146"/>
      <c r="E32" s="145" t="s">
        <v>42</v>
      </c>
      <c r="F32" s="146"/>
      <c r="G32" s="223"/>
      <c r="H32" s="206"/>
      <c r="I32" s="178"/>
      <c r="J32" s="146"/>
      <c r="K32" s="147"/>
    </row>
    <row r="33" spans="1:11" ht="13.5" customHeight="1" x14ac:dyDescent="0.2">
      <c r="A33" s="144"/>
      <c r="B33" s="223"/>
      <c r="C33" s="206"/>
      <c r="D33" s="146"/>
      <c r="E33" s="145" t="s">
        <v>42</v>
      </c>
      <c r="F33" s="146"/>
      <c r="G33" s="223"/>
      <c r="H33" s="206"/>
      <c r="I33" s="178"/>
      <c r="J33" s="146"/>
      <c r="K33" s="147"/>
    </row>
    <row r="34" spans="1:11" ht="13.5" customHeight="1" x14ac:dyDescent="0.2">
      <c r="A34" s="144"/>
      <c r="B34" s="223"/>
      <c r="C34" s="206"/>
      <c r="D34" s="146"/>
      <c r="E34" s="145" t="s">
        <v>42</v>
      </c>
      <c r="F34" s="146"/>
      <c r="G34" s="223"/>
      <c r="H34" s="206"/>
      <c r="I34" s="178"/>
      <c r="J34" s="146"/>
      <c r="K34" s="147"/>
    </row>
    <row r="35" spans="1:11" ht="13.5" customHeight="1" x14ac:dyDescent="0.2">
      <c r="A35" s="144"/>
      <c r="B35" s="223"/>
      <c r="C35" s="206"/>
      <c r="D35" s="146"/>
      <c r="E35" s="145" t="s">
        <v>42</v>
      </c>
      <c r="F35" s="146"/>
      <c r="G35" s="223"/>
      <c r="H35" s="206"/>
      <c r="I35" s="178"/>
      <c r="J35" s="146"/>
      <c r="K35" s="147"/>
    </row>
    <row r="36" spans="1:11" ht="13.5" customHeight="1" x14ac:dyDescent="0.2">
      <c r="A36" s="144"/>
      <c r="B36" s="223"/>
      <c r="C36" s="206"/>
      <c r="D36" s="146"/>
      <c r="E36" s="145" t="s">
        <v>42</v>
      </c>
      <c r="F36" s="146"/>
      <c r="G36" s="223"/>
      <c r="H36" s="206"/>
      <c r="I36" s="178"/>
      <c r="J36" s="146"/>
      <c r="K36" s="147"/>
    </row>
    <row r="37" spans="1:11" ht="13.5" customHeight="1" x14ac:dyDescent="0.2">
      <c r="A37" s="144"/>
      <c r="B37" s="223"/>
      <c r="C37" s="206"/>
      <c r="D37" s="146"/>
      <c r="E37" s="145" t="s">
        <v>42</v>
      </c>
      <c r="F37" s="146"/>
      <c r="G37" s="223"/>
      <c r="H37" s="206"/>
      <c r="I37" s="178"/>
      <c r="J37" s="146"/>
      <c r="K37" s="147"/>
    </row>
    <row r="38" spans="1:11" ht="13.5" customHeight="1" x14ac:dyDescent="0.2">
      <c r="A38" s="144"/>
      <c r="B38" s="223"/>
      <c r="C38" s="206"/>
      <c r="D38" s="146"/>
      <c r="E38" s="145" t="s">
        <v>42</v>
      </c>
      <c r="F38" s="146"/>
      <c r="G38" s="223"/>
      <c r="H38" s="206"/>
      <c r="I38" s="178"/>
      <c r="J38" s="146"/>
      <c r="K38" s="147"/>
    </row>
    <row r="39" spans="1:11" ht="13.5" customHeight="1" x14ac:dyDescent="0.2">
      <c r="A39" s="144"/>
      <c r="B39" s="223"/>
      <c r="C39" s="206"/>
      <c r="D39" s="146"/>
      <c r="E39" s="145" t="s">
        <v>42</v>
      </c>
      <c r="F39" s="146"/>
      <c r="G39" s="223"/>
      <c r="H39" s="206"/>
      <c r="I39" s="178"/>
      <c r="J39" s="146"/>
      <c r="K39" s="147"/>
    </row>
    <row r="40" spans="1:11" ht="13.5" customHeight="1" thickBot="1" x14ac:dyDescent="0.25">
      <c r="A40" s="148"/>
      <c r="B40" s="229"/>
      <c r="C40" s="230"/>
      <c r="D40" s="149"/>
      <c r="E40" s="150" t="s">
        <v>42</v>
      </c>
      <c r="F40" s="149"/>
      <c r="G40" s="229"/>
      <c r="H40" s="230"/>
      <c r="I40" s="179"/>
      <c r="J40" s="146"/>
      <c r="K40" s="151"/>
    </row>
    <row r="41" spans="1:11" ht="13.8" thickBot="1" x14ac:dyDescent="0.25">
      <c r="A41" s="152"/>
      <c r="B41" s="134"/>
      <c r="C41" s="134"/>
      <c r="D41" s="134"/>
      <c r="E41" s="134"/>
      <c r="F41" s="134"/>
      <c r="G41" s="134"/>
      <c r="H41" s="134"/>
      <c r="I41" s="134"/>
      <c r="J41" s="169">
        <f>SUM(J9:J40)</f>
        <v>0</v>
      </c>
      <c r="K41" s="134"/>
    </row>
    <row r="42" spans="1:11" ht="15" thickBot="1" x14ac:dyDescent="0.25">
      <c r="A42" s="136" t="s">
        <v>234</v>
      </c>
      <c r="B42" s="134"/>
      <c r="C42" s="134"/>
      <c r="D42" s="134"/>
      <c r="E42" s="134"/>
      <c r="F42" s="134"/>
      <c r="G42" s="134"/>
      <c r="H42" s="134"/>
      <c r="I42" s="134"/>
      <c r="J42" s="134"/>
      <c r="K42" s="134"/>
    </row>
    <row r="43" spans="1:11" ht="13.8" thickBot="1" x14ac:dyDescent="0.25">
      <c r="A43" s="137" t="s">
        <v>173</v>
      </c>
      <c r="B43" s="227" t="s">
        <v>242</v>
      </c>
      <c r="C43" s="231"/>
      <c r="D43" s="138" t="s">
        <v>175</v>
      </c>
      <c r="E43" s="138"/>
      <c r="F43" s="138" t="s">
        <v>176</v>
      </c>
      <c r="G43" s="227" t="s">
        <v>174</v>
      </c>
      <c r="H43" s="231"/>
      <c r="I43" s="138" t="s">
        <v>245</v>
      </c>
      <c r="J43" s="139" t="s">
        <v>178</v>
      </c>
      <c r="K43" s="140" t="s">
        <v>179</v>
      </c>
    </row>
    <row r="44" spans="1:11" x14ac:dyDescent="0.2">
      <c r="A44" s="144"/>
      <c r="B44" s="236"/>
      <c r="C44" s="237"/>
      <c r="D44" s="146"/>
      <c r="E44" s="142" t="s">
        <v>180</v>
      </c>
      <c r="F44" s="146"/>
      <c r="G44" s="234"/>
      <c r="H44" s="235"/>
      <c r="I44" s="178"/>
      <c r="J44" s="146"/>
      <c r="K44" s="147"/>
    </row>
    <row r="45" spans="1:11" x14ac:dyDescent="0.2">
      <c r="A45" s="144"/>
      <c r="B45" s="223"/>
      <c r="C45" s="206"/>
      <c r="D45" s="146"/>
      <c r="E45" s="145" t="s">
        <v>42</v>
      </c>
      <c r="F45" s="146"/>
      <c r="G45" s="223"/>
      <c r="H45" s="224"/>
      <c r="I45" s="178"/>
      <c r="J45" s="146"/>
      <c r="K45" s="147"/>
    </row>
    <row r="46" spans="1:11" x14ac:dyDescent="0.2">
      <c r="A46" s="144"/>
      <c r="B46" s="223"/>
      <c r="C46" s="206"/>
      <c r="D46" s="146"/>
      <c r="E46" s="145" t="s">
        <v>42</v>
      </c>
      <c r="F46" s="146"/>
      <c r="G46" s="223"/>
      <c r="H46" s="224"/>
      <c r="I46" s="178"/>
      <c r="J46" s="146"/>
      <c r="K46" s="147"/>
    </row>
    <row r="47" spans="1:11" x14ac:dyDescent="0.2">
      <c r="A47" s="144"/>
      <c r="B47" s="223"/>
      <c r="C47" s="206"/>
      <c r="D47" s="146"/>
      <c r="E47" s="145" t="s">
        <v>42</v>
      </c>
      <c r="F47" s="146"/>
      <c r="G47" s="223"/>
      <c r="H47" s="224"/>
      <c r="I47" s="178"/>
      <c r="J47" s="146"/>
      <c r="K47" s="147"/>
    </row>
    <row r="48" spans="1:11" x14ac:dyDescent="0.2">
      <c r="A48" s="144"/>
      <c r="B48" s="223"/>
      <c r="C48" s="206"/>
      <c r="D48" s="146"/>
      <c r="E48" s="145" t="s">
        <v>42</v>
      </c>
      <c r="F48" s="146"/>
      <c r="G48" s="223"/>
      <c r="H48" s="224"/>
      <c r="I48" s="178"/>
      <c r="J48" s="146"/>
      <c r="K48" s="147"/>
    </row>
    <row r="49" spans="1:11" x14ac:dyDescent="0.2">
      <c r="A49" s="144"/>
      <c r="B49" s="223"/>
      <c r="C49" s="206"/>
      <c r="D49" s="146"/>
      <c r="E49" s="145" t="s">
        <v>42</v>
      </c>
      <c r="F49" s="146"/>
      <c r="G49" s="223"/>
      <c r="H49" s="224"/>
      <c r="I49" s="178"/>
      <c r="J49" s="146"/>
      <c r="K49" s="147"/>
    </row>
    <row r="50" spans="1:11" x14ac:dyDescent="0.2">
      <c r="A50" s="144"/>
      <c r="B50" s="223"/>
      <c r="C50" s="206"/>
      <c r="D50" s="146"/>
      <c r="E50" s="145" t="s">
        <v>42</v>
      </c>
      <c r="F50" s="146"/>
      <c r="G50" s="223"/>
      <c r="H50" s="224"/>
      <c r="I50" s="178"/>
      <c r="J50" s="146"/>
      <c r="K50" s="147"/>
    </row>
    <row r="51" spans="1:11" x14ac:dyDescent="0.2">
      <c r="A51" s="144"/>
      <c r="B51" s="223"/>
      <c r="C51" s="206"/>
      <c r="D51" s="146"/>
      <c r="E51" s="145" t="s">
        <v>42</v>
      </c>
      <c r="F51" s="146"/>
      <c r="G51" s="223"/>
      <c r="H51" s="224"/>
      <c r="I51" s="178"/>
      <c r="J51" s="146"/>
      <c r="K51" s="147"/>
    </row>
    <row r="52" spans="1:11" x14ac:dyDescent="0.2">
      <c r="A52" s="144"/>
      <c r="B52" s="223"/>
      <c r="C52" s="206"/>
      <c r="D52" s="146"/>
      <c r="E52" s="145" t="s">
        <v>180</v>
      </c>
      <c r="F52" s="146"/>
      <c r="G52" s="223"/>
      <c r="H52" s="224"/>
      <c r="I52" s="178"/>
      <c r="J52" s="146"/>
      <c r="K52" s="147"/>
    </row>
    <row r="53" spans="1:11" x14ac:dyDescent="0.2">
      <c r="A53" s="144"/>
      <c r="B53" s="223"/>
      <c r="C53" s="206"/>
      <c r="D53" s="146"/>
      <c r="E53" s="145" t="s">
        <v>42</v>
      </c>
      <c r="F53" s="146"/>
      <c r="G53" s="223"/>
      <c r="H53" s="224"/>
      <c r="I53" s="178"/>
      <c r="J53" s="146"/>
      <c r="K53" s="147"/>
    </row>
    <row r="54" spans="1:11" x14ac:dyDescent="0.2">
      <c r="A54" s="144"/>
      <c r="B54" s="223"/>
      <c r="C54" s="206"/>
      <c r="D54" s="146"/>
      <c r="E54" s="145" t="s">
        <v>42</v>
      </c>
      <c r="F54" s="146"/>
      <c r="G54" s="223"/>
      <c r="H54" s="224"/>
      <c r="I54" s="178"/>
      <c r="J54" s="146"/>
      <c r="K54" s="147"/>
    </row>
    <row r="55" spans="1:11" x14ac:dyDescent="0.2">
      <c r="A55" s="144"/>
      <c r="B55" s="223"/>
      <c r="C55" s="206"/>
      <c r="D55" s="146"/>
      <c r="E55" s="145" t="s">
        <v>180</v>
      </c>
      <c r="F55" s="146"/>
      <c r="G55" s="223"/>
      <c r="H55" s="224"/>
      <c r="I55" s="178"/>
      <c r="J55" s="146"/>
      <c r="K55" s="147"/>
    </row>
    <row r="56" spans="1:11" x14ac:dyDescent="0.2">
      <c r="A56" s="144"/>
      <c r="B56" s="223"/>
      <c r="C56" s="206"/>
      <c r="D56" s="146"/>
      <c r="E56" s="145" t="s">
        <v>42</v>
      </c>
      <c r="F56" s="146"/>
      <c r="G56" s="223"/>
      <c r="H56" s="224"/>
      <c r="I56" s="178"/>
      <c r="J56" s="146"/>
      <c r="K56" s="147"/>
    </row>
    <row r="57" spans="1:11" x14ac:dyDescent="0.2">
      <c r="A57" s="144"/>
      <c r="B57" s="223"/>
      <c r="C57" s="206"/>
      <c r="D57" s="146"/>
      <c r="E57" s="145" t="s">
        <v>42</v>
      </c>
      <c r="F57" s="146"/>
      <c r="G57" s="223"/>
      <c r="H57" s="224"/>
      <c r="I57" s="178"/>
      <c r="J57" s="146"/>
      <c r="K57" s="147"/>
    </row>
    <row r="58" spans="1:11" x14ac:dyDescent="0.2">
      <c r="A58" s="144"/>
      <c r="B58" s="223"/>
      <c r="C58" s="206"/>
      <c r="D58" s="146"/>
      <c r="E58" s="145" t="s">
        <v>42</v>
      </c>
      <c r="F58" s="146"/>
      <c r="G58" s="223"/>
      <c r="H58" s="224"/>
      <c r="I58" s="178"/>
      <c r="J58" s="146"/>
      <c r="K58" s="147"/>
    </row>
    <row r="59" spans="1:11" x14ac:dyDescent="0.2">
      <c r="A59" s="144"/>
      <c r="B59" s="223"/>
      <c r="C59" s="206"/>
      <c r="D59" s="146"/>
      <c r="E59" s="145" t="s">
        <v>42</v>
      </c>
      <c r="F59" s="146"/>
      <c r="G59" s="223"/>
      <c r="H59" s="224"/>
      <c r="I59" s="178"/>
      <c r="J59" s="146"/>
      <c r="K59" s="147"/>
    </row>
    <row r="60" spans="1:11" x14ac:dyDescent="0.2">
      <c r="A60" s="144"/>
      <c r="B60" s="223"/>
      <c r="C60" s="206"/>
      <c r="D60" s="146"/>
      <c r="E60" s="145" t="s">
        <v>42</v>
      </c>
      <c r="F60" s="146"/>
      <c r="G60" s="223"/>
      <c r="H60" s="224"/>
      <c r="I60" s="178"/>
      <c r="J60" s="146"/>
      <c r="K60" s="147"/>
    </row>
    <row r="61" spans="1:11" x14ac:dyDescent="0.2">
      <c r="A61" s="144"/>
      <c r="B61" s="223"/>
      <c r="C61" s="206"/>
      <c r="D61" s="146"/>
      <c r="E61" s="145" t="s">
        <v>42</v>
      </c>
      <c r="F61" s="146"/>
      <c r="G61" s="223"/>
      <c r="H61" s="224"/>
      <c r="I61" s="178"/>
      <c r="J61" s="146"/>
      <c r="K61" s="147"/>
    </row>
    <row r="62" spans="1:11" x14ac:dyDescent="0.2">
      <c r="A62" s="144"/>
      <c r="B62" s="223"/>
      <c r="C62" s="206"/>
      <c r="D62" s="146"/>
      <c r="E62" s="145" t="s">
        <v>42</v>
      </c>
      <c r="F62" s="146"/>
      <c r="G62" s="223"/>
      <c r="H62" s="224"/>
      <c r="I62" s="178"/>
      <c r="J62" s="146"/>
      <c r="K62" s="147"/>
    </row>
    <row r="63" spans="1:11" x14ac:dyDescent="0.2">
      <c r="A63" s="144"/>
      <c r="B63" s="223"/>
      <c r="C63" s="206"/>
      <c r="D63" s="146"/>
      <c r="E63" s="145" t="s">
        <v>42</v>
      </c>
      <c r="F63" s="146"/>
      <c r="G63" s="223"/>
      <c r="H63" s="224"/>
      <c r="I63" s="178"/>
      <c r="J63" s="146"/>
      <c r="K63" s="147"/>
    </row>
    <row r="64" spans="1:11" x14ac:dyDescent="0.2">
      <c r="A64" s="144"/>
      <c r="B64" s="223"/>
      <c r="C64" s="206"/>
      <c r="D64" s="146"/>
      <c r="E64" s="145" t="s">
        <v>42</v>
      </c>
      <c r="F64" s="146"/>
      <c r="G64" s="223"/>
      <c r="H64" s="224"/>
      <c r="I64" s="178"/>
      <c r="J64" s="146"/>
      <c r="K64" s="147"/>
    </row>
    <row r="65" spans="1:11" x14ac:dyDescent="0.2">
      <c r="A65" s="144"/>
      <c r="B65" s="223"/>
      <c r="C65" s="206"/>
      <c r="D65" s="146"/>
      <c r="E65" s="145" t="s">
        <v>42</v>
      </c>
      <c r="F65" s="146"/>
      <c r="G65" s="223"/>
      <c r="H65" s="224"/>
      <c r="I65" s="178"/>
      <c r="J65" s="146"/>
      <c r="K65" s="147"/>
    </row>
    <row r="66" spans="1:11" x14ac:dyDescent="0.2">
      <c r="A66" s="144"/>
      <c r="B66" s="223"/>
      <c r="C66" s="206"/>
      <c r="D66" s="146"/>
      <c r="E66" s="145" t="s">
        <v>42</v>
      </c>
      <c r="F66" s="146"/>
      <c r="G66" s="223"/>
      <c r="H66" s="224"/>
      <c r="I66" s="178"/>
      <c r="J66" s="146"/>
      <c r="K66" s="147"/>
    </row>
    <row r="67" spans="1:11" x14ac:dyDescent="0.2">
      <c r="A67" s="144"/>
      <c r="B67" s="223"/>
      <c r="C67" s="206"/>
      <c r="D67" s="146"/>
      <c r="E67" s="145" t="s">
        <v>42</v>
      </c>
      <c r="F67" s="146"/>
      <c r="G67" s="223"/>
      <c r="H67" s="224"/>
      <c r="I67" s="178"/>
      <c r="J67" s="146"/>
      <c r="K67" s="147"/>
    </row>
    <row r="68" spans="1:11" x14ac:dyDescent="0.2">
      <c r="A68" s="144"/>
      <c r="B68" s="223"/>
      <c r="C68" s="206"/>
      <c r="D68" s="146"/>
      <c r="E68" s="145" t="s">
        <v>42</v>
      </c>
      <c r="F68" s="146"/>
      <c r="G68" s="223"/>
      <c r="H68" s="224"/>
      <c r="I68" s="178"/>
      <c r="J68" s="146"/>
      <c r="K68" s="147"/>
    </row>
    <row r="69" spans="1:11" x14ac:dyDescent="0.2">
      <c r="A69" s="144"/>
      <c r="B69" s="223"/>
      <c r="C69" s="206"/>
      <c r="D69" s="146"/>
      <c r="E69" s="145" t="s">
        <v>42</v>
      </c>
      <c r="F69" s="146"/>
      <c r="G69" s="223"/>
      <c r="H69" s="224"/>
      <c r="I69" s="178"/>
      <c r="J69" s="146"/>
      <c r="K69" s="147"/>
    </row>
    <row r="70" spans="1:11" x14ac:dyDescent="0.2">
      <c r="A70" s="144"/>
      <c r="B70" s="223"/>
      <c r="C70" s="206"/>
      <c r="D70" s="146"/>
      <c r="E70" s="145" t="s">
        <v>42</v>
      </c>
      <c r="F70" s="146"/>
      <c r="G70" s="223"/>
      <c r="H70" s="224"/>
      <c r="I70" s="178"/>
      <c r="J70" s="146"/>
      <c r="K70" s="147"/>
    </row>
    <row r="71" spans="1:11" x14ac:dyDescent="0.2">
      <c r="A71" s="144"/>
      <c r="B71" s="223"/>
      <c r="C71" s="206"/>
      <c r="D71" s="146"/>
      <c r="E71" s="145" t="s">
        <v>42</v>
      </c>
      <c r="F71" s="146"/>
      <c r="G71" s="223"/>
      <c r="H71" s="224"/>
      <c r="I71" s="178"/>
      <c r="J71" s="146"/>
      <c r="K71" s="147"/>
    </row>
    <row r="72" spans="1:11" x14ac:dyDescent="0.2">
      <c r="A72" s="144"/>
      <c r="B72" s="223"/>
      <c r="C72" s="206"/>
      <c r="D72" s="146"/>
      <c r="E72" s="145" t="s">
        <v>180</v>
      </c>
      <c r="F72" s="146"/>
      <c r="G72" s="223"/>
      <c r="H72" s="224"/>
      <c r="I72" s="178"/>
      <c r="J72" s="146"/>
      <c r="K72" s="147"/>
    </row>
    <row r="73" spans="1:11" x14ac:dyDescent="0.2">
      <c r="A73" s="144"/>
      <c r="B73" s="223"/>
      <c r="C73" s="206"/>
      <c r="D73" s="146"/>
      <c r="E73" s="145" t="s">
        <v>180</v>
      </c>
      <c r="F73" s="146"/>
      <c r="G73" s="223"/>
      <c r="H73" s="224"/>
      <c r="I73" s="178"/>
      <c r="J73" s="146"/>
      <c r="K73" s="147"/>
    </row>
    <row r="74" spans="1:11" ht="13.8" thickBot="1" x14ac:dyDescent="0.25">
      <c r="A74" s="148"/>
      <c r="B74" s="229"/>
      <c r="C74" s="230"/>
      <c r="D74" s="149"/>
      <c r="E74" s="150" t="s">
        <v>42</v>
      </c>
      <c r="F74" s="149"/>
      <c r="G74" s="229"/>
      <c r="H74" s="252"/>
      <c r="I74" s="179"/>
      <c r="J74" s="146"/>
      <c r="K74" s="151"/>
    </row>
    <row r="75" spans="1:11" ht="14.25" customHeight="1" thickBot="1" x14ac:dyDescent="0.25">
      <c r="A75" s="181"/>
      <c r="B75" s="134"/>
      <c r="C75" s="134"/>
      <c r="D75" s="182"/>
      <c r="E75" s="182"/>
      <c r="F75" s="182"/>
      <c r="G75" s="134"/>
      <c r="H75" s="183"/>
      <c r="I75" s="180"/>
      <c r="J75" s="169">
        <f>SUM(J44:J74)</f>
        <v>0</v>
      </c>
      <c r="K75" s="182"/>
    </row>
    <row r="76" spans="1:11" ht="15" thickBot="1" x14ac:dyDescent="0.25">
      <c r="A76" s="136" t="s">
        <v>191</v>
      </c>
      <c r="B76" s="134"/>
      <c r="C76" s="134"/>
      <c r="D76" s="134"/>
      <c r="E76" s="134"/>
      <c r="F76" s="134"/>
      <c r="G76" s="134"/>
      <c r="H76" s="134"/>
      <c r="I76" s="134"/>
      <c r="J76" s="134"/>
      <c r="K76" s="134"/>
    </row>
    <row r="77" spans="1:11" ht="13.8" thickBot="1" x14ac:dyDescent="0.25">
      <c r="A77" s="137" t="s">
        <v>182</v>
      </c>
      <c r="B77" s="227" t="s">
        <v>192</v>
      </c>
      <c r="C77" s="239"/>
      <c r="D77" s="239"/>
      <c r="E77" s="239"/>
      <c r="F77" s="239"/>
      <c r="G77" s="239"/>
      <c r="H77" s="239"/>
      <c r="I77" s="231"/>
      <c r="J77" s="139" t="s">
        <v>178</v>
      </c>
      <c r="K77" s="140" t="s">
        <v>179</v>
      </c>
    </row>
    <row r="78" spans="1:11" x14ac:dyDescent="0.2">
      <c r="A78" s="141"/>
      <c r="B78" s="253" t="s">
        <v>183</v>
      </c>
      <c r="C78" s="254"/>
      <c r="D78" s="254"/>
      <c r="E78" s="254"/>
      <c r="F78" s="254"/>
      <c r="G78" s="254"/>
      <c r="H78" s="254"/>
      <c r="I78" s="255"/>
      <c r="J78" s="142">
        <f>'業務請求分明細（1シート目）'!J30</f>
        <v>0</v>
      </c>
      <c r="K78" s="143"/>
    </row>
    <row r="79" spans="1:11" x14ac:dyDescent="0.2">
      <c r="A79" s="144"/>
      <c r="B79" s="246" t="s">
        <v>184</v>
      </c>
      <c r="C79" s="247"/>
      <c r="D79" s="247"/>
      <c r="E79" s="247"/>
      <c r="F79" s="247"/>
      <c r="G79" s="247"/>
      <c r="H79" s="247"/>
      <c r="I79" s="248"/>
      <c r="J79" s="145">
        <f>'業務請求分明細（2シート目）'!J30</f>
        <v>0</v>
      </c>
      <c r="K79" s="147"/>
    </row>
    <row r="80" spans="1:11" ht="13.8" thickBot="1" x14ac:dyDescent="0.25">
      <c r="A80" s="153"/>
      <c r="B80" s="249" t="s">
        <v>231</v>
      </c>
      <c r="C80" s="250"/>
      <c r="D80" s="250"/>
      <c r="E80" s="250"/>
      <c r="F80" s="250"/>
      <c r="G80" s="250"/>
      <c r="H80" s="250"/>
      <c r="I80" s="251"/>
      <c r="J80" s="170">
        <f>'業務請求分明細（3シート目）'!J30</f>
        <v>0</v>
      </c>
      <c r="K80" s="154"/>
    </row>
    <row r="81" spans="1:11" ht="13.8" thickBot="1" x14ac:dyDescent="0.25">
      <c r="A81" s="134"/>
      <c r="B81" s="134"/>
      <c r="C81" s="134"/>
      <c r="D81" s="134"/>
      <c r="E81" s="134"/>
      <c r="F81" s="134"/>
      <c r="G81" s="134"/>
      <c r="H81" s="134"/>
      <c r="I81" s="134"/>
      <c r="J81" s="171">
        <f>SUM(J78:J80)</f>
        <v>0</v>
      </c>
      <c r="K81" s="134"/>
    </row>
    <row r="82" spans="1:11" ht="13.8" thickBot="1" x14ac:dyDescent="0.25"/>
    <row r="83" spans="1:11" ht="13.8" thickBot="1" x14ac:dyDescent="0.25">
      <c r="A83" s="238" t="s">
        <v>185</v>
      </c>
      <c r="B83" s="239"/>
      <c r="C83" s="239"/>
      <c r="D83" s="239"/>
      <c r="E83" s="239"/>
      <c r="F83" s="239"/>
      <c r="G83" s="239"/>
      <c r="H83" s="239"/>
      <c r="I83" s="177"/>
      <c r="J83" s="169">
        <f>J41+J75+J81</f>
        <v>0</v>
      </c>
    </row>
  </sheetData>
  <mergeCells count="138">
    <mergeCell ref="B74:C74"/>
    <mergeCell ref="G74:H74"/>
    <mergeCell ref="G73:H73"/>
    <mergeCell ref="B77:I77"/>
    <mergeCell ref="B78:I78"/>
    <mergeCell ref="B61:C61"/>
    <mergeCell ref="B58:C58"/>
    <mergeCell ref="B64:C64"/>
    <mergeCell ref="B65:C65"/>
    <mergeCell ref="B60:C60"/>
    <mergeCell ref="B59:C59"/>
    <mergeCell ref="B62:C62"/>
    <mergeCell ref="G60:H60"/>
    <mergeCell ref="A83:H83"/>
    <mergeCell ref="B55:C55"/>
    <mergeCell ref="B63:C63"/>
    <mergeCell ref="B51:C51"/>
    <mergeCell ref="B52:C52"/>
    <mergeCell ref="G55:H55"/>
    <mergeCell ref="G68:H68"/>
    <mergeCell ref="B3:F3"/>
    <mergeCell ref="B4:F4"/>
    <mergeCell ref="B49:C49"/>
    <mergeCell ref="B50:C50"/>
    <mergeCell ref="B45:C45"/>
    <mergeCell ref="B14:C14"/>
    <mergeCell ref="B24:C24"/>
    <mergeCell ref="B8:C8"/>
    <mergeCell ref="B9:C9"/>
    <mergeCell ref="B19:C19"/>
    <mergeCell ref="B79:I79"/>
    <mergeCell ref="B80:I80"/>
    <mergeCell ref="B68:C68"/>
    <mergeCell ref="B69:C69"/>
    <mergeCell ref="B70:C70"/>
    <mergeCell ref="B71:C71"/>
    <mergeCell ref="B73:C73"/>
    <mergeCell ref="D1:E1"/>
    <mergeCell ref="G43:H43"/>
    <mergeCell ref="G44:H44"/>
    <mergeCell ref="B44:C44"/>
    <mergeCell ref="B10:C10"/>
    <mergeCell ref="G10:H10"/>
    <mergeCell ref="B11:C11"/>
    <mergeCell ref="G11:H11"/>
    <mergeCell ref="B13:C13"/>
    <mergeCell ref="G13:H13"/>
    <mergeCell ref="G8:H8"/>
    <mergeCell ref="G9:H9"/>
    <mergeCell ref="G35:H35"/>
    <mergeCell ref="G38:H38"/>
    <mergeCell ref="B12:C12"/>
    <mergeCell ref="G12:H12"/>
    <mergeCell ref="G14:H14"/>
    <mergeCell ref="B20:C20"/>
    <mergeCell ref="G20:H20"/>
    <mergeCell ref="B15:C15"/>
    <mergeCell ref="G15:H15"/>
    <mergeCell ref="B16:C16"/>
    <mergeCell ref="G16:H16"/>
    <mergeCell ref="B17:C17"/>
    <mergeCell ref="G17:H17"/>
    <mergeCell ref="B18:C18"/>
    <mergeCell ref="G18:H18"/>
    <mergeCell ref="G62:H62"/>
    <mergeCell ref="G69:H69"/>
    <mergeCell ref="G53:H53"/>
    <mergeCell ref="B28:C28"/>
    <mergeCell ref="G28:H28"/>
    <mergeCell ref="B39:C39"/>
    <mergeCell ref="B56:C56"/>
    <mergeCell ref="G56:H56"/>
    <mergeCell ref="B53:C53"/>
    <mergeCell ref="G48:H48"/>
    <mergeCell ref="G61:H61"/>
    <mergeCell ref="G50:H50"/>
    <mergeCell ref="G51:H51"/>
    <mergeCell ref="G52:H52"/>
    <mergeCell ref="G54:H54"/>
    <mergeCell ref="G57:H57"/>
    <mergeCell ref="G58:H58"/>
    <mergeCell ref="G19:H19"/>
    <mergeCell ref="B26:C26"/>
    <mergeCell ref="G26:H26"/>
    <mergeCell ref="B21:C21"/>
    <mergeCell ref="G21:H21"/>
    <mergeCell ref="B22:C22"/>
    <mergeCell ref="G22:H22"/>
    <mergeCell ref="B23:C23"/>
    <mergeCell ref="G23:H23"/>
    <mergeCell ref="G24:H24"/>
    <mergeCell ref="B72:C72"/>
    <mergeCell ref="G72:H72"/>
    <mergeCell ref="G71:H71"/>
    <mergeCell ref="G64:H64"/>
    <mergeCell ref="G65:H65"/>
    <mergeCell ref="G66:H66"/>
    <mergeCell ref="G70:H70"/>
    <mergeCell ref="G67:H67"/>
    <mergeCell ref="B67:C67"/>
    <mergeCell ref="B66:C66"/>
    <mergeCell ref="B25:C25"/>
    <mergeCell ref="G25:H25"/>
    <mergeCell ref="B36:C36"/>
    <mergeCell ref="G36:H36"/>
    <mergeCell ref="B29:C29"/>
    <mergeCell ref="B30:C30"/>
    <mergeCell ref="G30:H30"/>
    <mergeCell ref="G34:H34"/>
    <mergeCell ref="B34:C34"/>
    <mergeCell ref="B27:C27"/>
    <mergeCell ref="G27:H27"/>
    <mergeCell ref="B33:C33"/>
    <mergeCell ref="G33:H33"/>
    <mergeCell ref="B32:C32"/>
    <mergeCell ref="G32:H32"/>
    <mergeCell ref="B31:C31"/>
    <mergeCell ref="G31:H31"/>
    <mergeCell ref="G29:H29"/>
    <mergeCell ref="G49:H49"/>
    <mergeCell ref="G63:H63"/>
    <mergeCell ref="G59:H59"/>
    <mergeCell ref="B35:C35"/>
    <mergeCell ref="B38:C38"/>
    <mergeCell ref="B37:C37"/>
    <mergeCell ref="G37:H37"/>
    <mergeCell ref="B54:C54"/>
    <mergeCell ref="B46:C46"/>
    <mergeCell ref="G45:H45"/>
    <mergeCell ref="G46:H46"/>
    <mergeCell ref="G47:H47"/>
    <mergeCell ref="B40:C40"/>
    <mergeCell ref="G39:H39"/>
    <mergeCell ref="B43:C43"/>
    <mergeCell ref="G40:H40"/>
    <mergeCell ref="B57:C57"/>
    <mergeCell ref="B47:C47"/>
    <mergeCell ref="B48:C48"/>
  </mergeCells>
  <phoneticPr fontId="22"/>
  <dataValidations count="5">
    <dataValidation type="list" allowBlank="1" showInputMessage="1" showErrorMessage="1" sqref="G7 I44:I74 I9:I40" xr:uid="{07E75C71-71BE-4A0F-80BB-687B2785882D}">
      <formula1>種類</formula1>
    </dataValidation>
    <dataValidation type="list" allowBlank="1" showInputMessage="1" showErrorMessage="1" sqref="B7 G44:G74" xr:uid="{4709C5B2-445B-4E0F-A456-EBD7B19E63EC}">
      <formula1>費目a</formula1>
    </dataValidation>
    <dataValidation type="list" allowBlank="1" showInputMessage="1" showErrorMessage="1" sqref="D5:F5" xr:uid="{5AA49DC0-D4D6-4E7F-990A-F5EA7D4E54ED}">
      <formula1>組織</formula1>
    </dataValidation>
    <dataValidation operator="greaterThanOrEqual" allowBlank="1" showInputMessage="1" showErrorMessage="1" sqref="J38 J34 J32 J17 J28 J36 J26 J24 J21 J19 J10 J14:J15 J12" xr:uid="{A411617C-CEA2-4FCB-8545-1129E8B99A77}"/>
    <dataValidation type="list" allowBlank="1" showInputMessage="1" showErrorMessage="1" sqref="H16:H40 G9:G40" xr:uid="{A462F74C-B75D-4556-A7BF-5B7FF10CB4C8}">
      <formula1>費目b</formula1>
    </dataValidation>
  </dataValidations>
  <pageMargins left="0.25" right="0.25" top="0.75" bottom="0.75" header="0.3" footer="0.3"/>
  <pageSetup paperSize="9" scale="70"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39A99-B26D-4182-A9F4-E2E9F589CECC}">
  <sheetPr codeName="Sheet8">
    <pageSetUpPr fitToPage="1"/>
  </sheetPr>
  <dimension ref="B1:J32"/>
  <sheetViews>
    <sheetView showGridLines="0" workbookViewId="0">
      <pane ySplit="12" topLeftCell="A13" activePane="bottomLeft" state="frozenSplit"/>
      <selection pane="bottomLeft"/>
    </sheetView>
  </sheetViews>
  <sheetFormatPr defaultColWidth="8" defaultRowHeight="12" x14ac:dyDescent="0.2"/>
  <cols>
    <col min="1" max="1" width="2.77734375" style="113" customWidth="1"/>
    <col min="2" max="2" width="5.88671875" style="113" customWidth="1"/>
    <col min="3" max="3" width="28.44140625" style="113" customWidth="1"/>
    <col min="4" max="4" width="11" style="113" customWidth="1"/>
    <col min="5" max="5" width="3.109375" style="113" customWidth="1"/>
    <col min="6" max="6" width="11" style="113" customWidth="1"/>
    <col min="7" max="9" width="8.77734375" style="113" bestFit="1" customWidth="1"/>
    <col min="10" max="10" width="9.88671875" style="113" bestFit="1" customWidth="1"/>
    <col min="11" max="11" width="0.33203125" style="113" customWidth="1"/>
    <col min="12" max="12" width="0.88671875" style="113" customWidth="1"/>
    <col min="13" max="16384" width="8" style="113"/>
  </cols>
  <sheetData>
    <row r="1" spans="2:10" x14ac:dyDescent="0.2">
      <c r="J1" s="157" t="str">
        <f>祝日表!L2</f>
        <v>GREEN</v>
      </c>
    </row>
    <row r="2" spans="2:10" ht="19.2" x14ac:dyDescent="0.2">
      <c r="B2" s="267" t="str">
        <f>DBCS(TEXT(DATEVALUE(祝日表!A2 &amp; "/" &amp; 祝日表!B2 &amp; "/1"),"ggge年m月")) &amp; "度　立替経費等報告書"</f>
        <v>令和２年４月度　立替経費等報告書</v>
      </c>
      <c r="C2" s="267"/>
      <c r="D2" s="267"/>
      <c r="E2" s="267"/>
      <c r="F2" s="267"/>
      <c r="G2" s="267"/>
      <c r="H2" s="267"/>
      <c r="I2" s="267"/>
      <c r="J2" s="267"/>
    </row>
    <row r="4" spans="2:10" x14ac:dyDescent="0.2">
      <c r="B4" s="268"/>
      <c r="C4" s="268"/>
    </row>
    <row r="5" spans="2:10" x14ac:dyDescent="0.2">
      <c r="B5" s="268"/>
      <c r="C5" s="268"/>
    </row>
    <row r="6" spans="2:10" x14ac:dyDescent="0.2">
      <c r="H6" s="270"/>
      <c r="I6" s="270"/>
      <c r="J6" s="270"/>
    </row>
    <row r="7" spans="2:10" ht="13.2" x14ac:dyDescent="0.2">
      <c r="B7" s="269"/>
      <c r="C7" s="269"/>
      <c r="D7" s="114"/>
      <c r="E7" s="114"/>
    </row>
    <row r="8" spans="2:10" x14ac:dyDescent="0.2">
      <c r="B8" s="113" t="s">
        <v>151</v>
      </c>
    </row>
    <row r="9" spans="2:10" x14ac:dyDescent="0.2">
      <c r="B9" s="268"/>
      <c r="C9" s="268"/>
      <c r="D9" s="157"/>
      <c r="E9" s="157" t="s">
        <v>219</v>
      </c>
      <c r="F9" s="113" t="str">
        <f>祝日表!C2</f>
        <v>xxx</v>
      </c>
      <c r="G9" s="113" t="s">
        <v>152</v>
      </c>
      <c r="H9" s="268" t="str">
        <f>祝日表!D2</f>
        <v>xxx</v>
      </c>
      <c r="I9" s="268"/>
    </row>
    <row r="12" spans="2:10" ht="14.1" customHeight="1" x14ac:dyDescent="0.2">
      <c r="B12" s="115" t="s">
        <v>153</v>
      </c>
      <c r="C12" s="116" t="s">
        <v>160</v>
      </c>
      <c r="D12" s="256" t="s">
        <v>154</v>
      </c>
      <c r="E12" s="257"/>
      <c r="F12" s="258"/>
      <c r="G12" s="116" t="s">
        <v>155</v>
      </c>
      <c r="H12" s="116" t="s">
        <v>156</v>
      </c>
      <c r="I12" s="116" t="s">
        <v>157</v>
      </c>
      <c r="J12" s="117" t="s">
        <v>158</v>
      </c>
    </row>
    <row r="13" spans="2:10" ht="27.6" customHeight="1" x14ac:dyDescent="0.2">
      <c r="B13" s="129"/>
      <c r="C13" s="122"/>
      <c r="D13" s="123"/>
      <c r="E13" s="119" t="s">
        <v>42</v>
      </c>
      <c r="F13" s="125"/>
      <c r="G13" s="172"/>
      <c r="H13" s="172"/>
      <c r="I13" s="173"/>
      <c r="J13" s="174" t="str">
        <f t="shared" ref="J13:J29" si="0">IF(SUM(G13:I13)=0,"",SUM(G13:I13))</f>
        <v/>
      </c>
    </row>
    <row r="14" spans="2:10" ht="27.6" customHeight="1" x14ac:dyDescent="0.2">
      <c r="B14" s="121"/>
      <c r="C14" s="122"/>
      <c r="D14" s="123"/>
      <c r="E14" s="119" t="s">
        <v>42</v>
      </c>
      <c r="F14" s="125"/>
      <c r="G14" s="172"/>
      <c r="H14" s="172"/>
      <c r="I14" s="172"/>
      <c r="J14" s="174" t="str">
        <f t="shared" si="0"/>
        <v/>
      </c>
    </row>
    <row r="15" spans="2:10" ht="27.6" customHeight="1" x14ac:dyDescent="0.2">
      <c r="B15" s="121"/>
      <c r="C15" s="122"/>
      <c r="D15" s="123"/>
      <c r="E15" s="119" t="s">
        <v>42</v>
      </c>
      <c r="F15" s="125"/>
      <c r="G15" s="172"/>
      <c r="H15" s="172"/>
      <c r="I15" s="172"/>
      <c r="J15" s="174" t="str">
        <f t="shared" si="0"/>
        <v/>
      </c>
    </row>
    <row r="16" spans="2:10" ht="27.6" customHeight="1" x14ac:dyDescent="0.2">
      <c r="B16" s="121"/>
      <c r="C16" s="122"/>
      <c r="D16" s="123"/>
      <c r="E16" s="119" t="s">
        <v>42</v>
      </c>
      <c r="F16" s="125"/>
      <c r="G16" s="172"/>
      <c r="H16" s="172"/>
      <c r="I16" s="172"/>
      <c r="J16" s="174" t="str">
        <f t="shared" si="0"/>
        <v/>
      </c>
    </row>
    <row r="17" spans="2:10" ht="27.6" customHeight="1" x14ac:dyDescent="0.2">
      <c r="B17" s="121"/>
      <c r="C17" s="122"/>
      <c r="D17" s="123"/>
      <c r="E17" s="119" t="s">
        <v>42</v>
      </c>
      <c r="F17" s="125"/>
      <c r="G17" s="172"/>
      <c r="H17" s="172"/>
      <c r="I17" s="172"/>
      <c r="J17" s="174" t="str">
        <f t="shared" si="0"/>
        <v/>
      </c>
    </row>
    <row r="18" spans="2:10" ht="27.6" customHeight="1" x14ac:dyDescent="0.2">
      <c r="B18" s="121"/>
      <c r="C18" s="122"/>
      <c r="D18" s="123"/>
      <c r="E18" s="119" t="s">
        <v>42</v>
      </c>
      <c r="F18" s="125"/>
      <c r="G18" s="172"/>
      <c r="H18" s="172"/>
      <c r="I18" s="172"/>
      <c r="J18" s="174" t="str">
        <f t="shared" si="0"/>
        <v/>
      </c>
    </row>
    <row r="19" spans="2:10" ht="27.6" customHeight="1" x14ac:dyDescent="0.2">
      <c r="B19" s="121"/>
      <c r="C19" s="122"/>
      <c r="D19" s="123"/>
      <c r="E19" s="119" t="s">
        <v>42</v>
      </c>
      <c r="F19" s="125"/>
      <c r="G19" s="172"/>
      <c r="H19" s="172"/>
      <c r="I19" s="172"/>
      <c r="J19" s="174" t="str">
        <f t="shared" si="0"/>
        <v/>
      </c>
    </row>
    <row r="20" spans="2:10" ht="27.6" customHeight="1" x14ac:dyDescent="0.2">
      <c r="B20" s="121"/>
      <c r="C20" s="122"/>
      <c r="D20" s="123"/>
      <c r="E20" s="119" t="s">
        <v>225</v>
      </c>
      <c r="F20" s="125"/>
      <c r="G20" s="172"/>
      <c r="H20" s="172"/>
      <c r="I20" s="172"/>
      <c r="J20" s="174" t="str">
        <f>IF(SUM(G20:I20)=0,"",SUM(G20:I20))</f>
        <v/>
      </c>
    </row>
    <row r="21" spans="2:10" ht="27.6" customHeight="1" x14ac:dyDescent="0.2">
      <c r="B21" s="121"/>
      <c r="C21" s="122"/>
      <c r="D21" s="123"/>
      <c r="E21" s="119" t="s">
        <v>42</v>
      </c>
      <c r="F21" s="125"/>
      <c r="G21" s="172"/>
      <c r="H21" s="172"/>
      <c r="I21" s="172"/>
      <c r="J21" s="174" t="str">
        <f t="shared" si="0"/>
        <v/>
      </c>
    </row>
    <row r="22" spans="2:10" ht="27.6" customHeight="1" x14ac:dyDescent="0.2">
      <c r="B22" s="121"/>
      <c r="C22" s="122"/>
      <c r="D22" s="123"/>
      <c r="E22" s="119" t="s">
        <v>42</v>
      </c>
      <c r="F22" s="125"/>
      <c r="G22" s="172"/>
      <c r="H22" s="172"/>
      <c r="I22" s="172"/>
      <c r="J22" s="174" t="str">
        <f t="shared" si="0"/>
        <v/>
      </c>
    </row>
    <row r="23" spans="2:10" ht="27.6" customHeight="1" x14ac:dyDescent="0.2">
      <c r="B23" s="121"/>
      <c r="C23" s="122"/>
      <c r="D23" s="123"/>
      <c r="E23" s="119" t="s">
        <v>42</v>
      </c>
      <c r="F23" s="125"/>
      <c r="G23" s="172"/>
      <c r="H23" s="172"/>
      <c r="I23" s="172"/>
      <c r="J23" s="174" t="str">
        <f t="shared" si="0"/>
        <v/>
      </c>
    </row>
    <row r="24" spans="2:10" ht="27.6" customHeight="1" x14ac:dyDescent="0.2">
      <c r="B24" s="121"/>
      <c r="C24" s="122"/>
      <c r="D24" s="123"/>
      <c r="E24" s="119" t="s">
        <v>42</v>
      </c>
      <c r="F24" s="125"/>
      <c r="G24" s="172"/>
      <c r="H24" s="172"/>
      <c r="I24" s="172"/>
      <c r="J24" s="174" t="str">
        <f t="shared" si="0"/>
        <v/>
      </c>
    </row>
    <row r="25" spans="2:10" ht="27.6" customHeight="1" x14ac:dyDescent="0.2">
      <c r="B25" s="121"/>
      <c r="C25" s="122"/>
      <c r="D25" s="123"/>
      <c r="E25" s="119" t="s">
        <v>42</v>
      </c>
      <c r="F25" s="125"/>
      <c r="G25" s="172"/>
      <c r="H25" s="172"/>
      <c r="I25" s="172"/>
      <c r="J25" s="174" t="str">
        <f t="shared" si="0"/>
        <v/>
      </c>
    </row>
    <row r="26" spans="2:10" ht="27.6" customHeight="1" x14ac:dyDescent="0.2">
      <c r="B26" s="121"/>
      <c r="C26" s="122"/>
      <c r="D26" s="123"/>
      <c r="E26" s="119" t="s">
        <v>42</v>
      </c>
      <c r="F26" s="125"/>
      <c r="G26" s="172"/>
      <c r="H26" s="172"/>
      <c r="I26" s="172"/>
      <c r="J26" s="174" t="str">
        <f t="shared" si="0"/>
        <v/>
      </c>
    </row>
    <row r="27" spans="2:10" ht="27.6" customHeight="1" x14ac:dyDescent="0.2">
      <c r="B27" s="121"/>
      <c r="C27" s="122"/>
      <c r="D27" s="123"/>
      <c r="E27" s="119" t="s">
        <v>42</v>
      </c>
      <c r="F27" s="125"/>
      <c r="G27" s="172"/>
      <c r="H27" s="172"/>
      <c r="I27" s="172"/>
      <c r="J27" s="174" t="str">
        <f t="shared" si="0"/>
        <v/>
      </c>
    </row>
    <row r="28" spans="2:10" ht="27.6" customHeight="1" x14ac:dyDescent="0.2">
      <c r="B28" s="121"/>
      <c r="C28" s="122"/>
      <c r="D28" s="123"/>
      <c r="E28" s="119" t="s">
        <v>42</v>
      </c>
      <c r="F28" s="125"/>
      <c r="G28" s="172"/>
      <c r="H28" s="172"/>
      <c r="I28" s="172"/>
      <c r="J28" s="174" t="str">
        <f t="shared" si="0"/>
        <v/>
      </c>
    </row>
    <row r="29" spans="2:10" ht="27.6" customHeight="1" x14ac:dyDescent="0.2">
      <c r="B29" s="121"/>
      <c r="C29" s="122"/>
      <c r="D29" s="123"/>
      <c r="E29" s="119" t="s">
        <v>42</v>
      </c>
      <c r="F29" s="125"/>
      <c r="G29" s="172"/>
      <c r="H29" s="172"/>
      <c r="I29" s="172"/>
      <c r="J29" s="174" t="str">
        <f t="shared" si="0"/>
        <v/>
      </c>
    </row>
    <row r="30" spans="2:10" x14ac:dyDescent="0.2">
      <c r="B30" s="259" t="s">
        <v>159</v>
      </c>
      <c r="C30" s="260"/>
      <c r="D30" s="260"/>
      <c r="E30" s="260"/>
      <c r="F30" s="260"/>
      <c r="G30" s="265">
        <f>SUBTOTAL(9,G13:G29)</f>
        <v>0</v>
      </c>
      <c r="H30" s="265">
        <f>SUBTOTAL(9,H13:H29)</f>
        <v>0</v>
      </c>
      <c r="I30" s="265">
        <f>SUBTOTAL(9,I13:I29)</f>
        <v>0</v>
      </c>
      <c r="J30" s="263">
        <f>SUBTOTAL(9,J13:J29)</f>
        <v>0</v>
      </c>
    </row>
    <row r="31" spans="2:10" x14ac:dyDescent="0.2">
      <c r="B31" s="261"/>
      <c r="C31" s="262"/>
      <c r="D31" s="262"/>
      <c r="E31" s="262"/>
      <c r="F31" s="262"/>
      <c r="G31" s="266"/>
      <c r="H31" s="266"/>
      <c r="I31" s="266"/>
      <c r="J31" s="264"/>
    </row>
    <row r="32" spans="2:10" x14ac:dyDescent="0.2">
      <c r="G32" s="118"/>
    </row>
  </sheetData>
  <mergeCells count="13">
    <mergeCell ref="B2:J2"/>
    <mergeCell ref="B9:C9"/>
    <mergeCell ref="B7:C7"/>
    <mergeCell ref="B4:C4"/>
    <mergeCell ref="B5:C5"/>
    <mergeCell ref="H6:J6"/>
    <mergeCell ref="H9:I9"/>
    <mergeCell ref="D12:F12"/>
    <mergeCell ref="B30:F31"/>
    <mergeCell ref="J30:J31"/>
    <mergeCell ref="G30:G31"/>
    <mergeCell ref="I30:I31"/>
    <mergeCell ref="H30:H31"/>
  </mergeCells>
  <phoneticPr fontId="26"/>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35B02-89CF-4893-A7F8-D7D32D6DAD5E}">
  <sheetPr codeName="Sheet9">
    <pageSetUpPr fitToPage="1"/>
  </sheetPr>
  <dimension ref="B1:J32"/>
  <sheetViews>
    <sheetView showGridLines="0" workbookViewId="0">
      <pane ySplit="12" topLeftCell="A13" activePane="bottomLeft" state="frozenSplit"/>
      <selection pane="bottomLeft"/>
    </sheetView>
  </sheetViews>
  <sheetFormatPr defaultColWidth="8" defaultRowHeight="12" x14ac:dyDescent="0.2"/>
  <cols>
    <col min="1" max="1" width="2.77734375" style="113" customWidth="1"/>
    <col min="2" max="2" width="5.88671875" style="113" customWidth="1"/>
    <col min="3" max="3" width="28.44140625" style="113" customWidth="1"/>
    <col min="4" max="4" width="11" style="113" customWidth="1"/>
    <col min="5" max="5" width="3.109375" style="113" customWidth="1"/>
    <col min="6" max="6" width="11" style="113" customWidth="1"/>
    <col min="7" max="9" width="8.77734375" style="113" bestFit="1" customWidth="1"/>
    <col min="10" max="10" width="9.88671875" style="113" bestFit="1" customWidth="1"/>
    <col min="11" max="11" width="0.33203125" style="113" customWidth="1"/>
    <col min="12" max="12" width="0.88671875" style="113" customWidth="1"/>
    <col min="13" max="16384" width="8" style="113"/>
  </cols>
  <sheetData>
    <row r="1" spans="2:10" x14ac:dyDescent="0.2">
      <c r="J1" s="157" t="str">
        <f>祝日表!L2</f>
        <v>GREEN</v>
      </c>
    </row>
    <row r="2" spans="2:10" ht="19.2" x14ac:dyDescent="0.2">
      <c r="B2" s="267" t="str">
        <f>DBCS(TEXT(DATEVALUE(祝日表!A2 &amp; "/" &amp; 祝日表!B2 &amp; "/1"),"ggge年m月")) &amp; "度　立替経費等報告書"</f>
        <v>令和２年４月度　立替経費等報告書</v>
      </c>
      <c r="C2" s="267"/>
      <c r="D2" s="267"/>
      <c r="E2" s="267"/>
      <c r="F2" s="267"/>
      <c r="G2" s="267"/>
      <c r="H2" s="267"/>
      <c r="I2" s="267"/>
      <c r="J2" s="267"/>
    </row>
    <row r="4" spans="2:10" x14ac:dyDescent="0.2">
      <c r="B4" s="268"/>
      <c r="C4" s="268"/>
    </row>
    <row r="5" spans="2:10" x14ac:dyDescent="0.2">
      <c r="B5" s="268"/>
      <c r="C5" s="268"/>
    </row>
    <row r="6" spans="2:10" x14ac:dyDescent="0.2">
      <c r="H6" s="270"/>
      <c r="I6" s="270"/>
      <c r="J6" s="270"/>
    </row>
    <row r="7" spans="2:10" ht="13.2" x14ac:dyDescent="0.2">
      <c r="B7" s="269"/>
      <c r="C7" s="269"/>
      <c r="D7" s="114"/>
      <c r="E7" s="114"/>
    </row>
    <row r="8" spans="2:10" x14ac:dyDescent="0.2">
      <c r="B8" s="113" t="s">
        <v>151</v>
      </c>
    </row>
    <row r="9" spans="2:10" x14ac:dyDescent="0.2">
      <c r="B9" s="268"/>
      <c r="C9" s="268"/>
      <c r="E9" s="157" t="s">
        <v>219</v>
      </c>
      <c r="F9" s="113" t="str">
        <f>祝日表!C2</f>
        <v>xxx</v>
      </c>
      <c r="G9" s="113" t="s">
        <v>152</v>
      </c>
      <c r="H9" s="268" t="str">
        <f>祝日表!D2</f>
        <v>xxx</v>
      </c>
      <c r="I9" s="268"/>
    </row>
    <row r="12" spans="2:10" ht="14.1" customHeight="1" x14ac:dyDescent="0.2">
      <c r="B12" s="115" t="s">
        <v>153</v>
      </c>
      <c r="C12" s="116" t="s">
        <v>160</v>
      </c>
      <c r="D12" s="256" t="s">
        <v>154</v>
      </c>
      <c r="E12" s="257"/>
      <c r="F12" s="258"/>
      <c r="G12" s="116" t="s">
        <v>155</v>
      </c>
      <c r="H12" s="116" t="s">
        <v>156</v>
      </c>
      <c r="I12" s="116" t="s">
        <v>157</v>
      </c>
      <c r="J12" s="117" t="s">
        <v>158</v>
      </c>
    </row>
    <row r="13" spans="2:10" ht="27.6" customHeight="1" x14ac:dyDescent="0.2">
      <c r="B13" s="129"/>
      <c r="C13" s="122"/>
      <c r="D13" s="123"/>
      <c r="E13" s="119" t="s">
        <v>42</v>
      </c>
      <c r="F13" s="125"/>
      <c r="G13" s="172"/>
      <c r="H13" s="173"/>
      <c r="I13" s="173"/>
      <c r="J13" s="174" t="str">
        <f t="shared" ref="J13:J29" si="0">IF(SUM(G13:I13)=0,"",SUM(G13:I13))</f>
        <v/>
      </c>
    </row>
    <row r="14" spans="2:10" ht="27.6" customHeight="1" x14ac:dyDescent="0.2">
      <c r="B14" s="121"/>
      <c r="C14" s="122"/>
      <c r="D14" s="123"/>
      <c r="E14" s="119" t="s">
        <v>42</v>
      </c>
      <c r="F14" s="125"/>
      <c r="G14" s="172"/>
      <c r="H14" s="172"/>
      <c r="I14" s="172"/>
      <c r="J14" s="174" t="str">
        <f t="shared" si="0"/>
        <v/>
      </c>
    </row>
    <row r="15" spans="2:10" ht="27.6" customHeight="1" x14ac:dyDescent="0.2">
      <c r="B15" s="121"/>
      <c r="C15" s="122"/>
      <c r="D15" s="123"/>
      <c r="E15" s="119" t="s">
        <v>42</v>
      </c>
      <c r="F15" s="125"/>
      <c r="G15" s="172"/>
      <c r="H15" s="172"/>
      <c r="I15" s="172"/>
      <c r="J15" s="174" t="str">
        <f t="shared" si="0"/>
        <v/>
      </c>
    </row>
    <row r="16" spans="2:10" ht="27.6" customHeight="1" x14ac:dyDescent="0.2">
      <c r="B16" s="121"/>
      <c r="C16" s="122"/>
      <c r="D16" s="123"/>
      <c r="E16" s="119" t="s">
        <v>42</v>
      </c>
      <c r="F16" s="125"/>
      <c r="G16" s="172"/>
      <c r="H16" s="172"/>
      <c r="I16" s="172"/>
      <c r="J16" s="174" t="str">
        <f t="shared" si="0"/>
        <v/>
      </c>
    </row>
    <row r="17" spans="2:10" ht="27.6" customHeight="1" x14ac:dyDescent="0.2">
      <c r="B17" s="121"/>
      <c r="C17" s="122"/>
      <c r="D17" s="123"/>
      <c r="E17" s="119" t="s">
        <v>42</v>
      </c>
      <c r="F17" s="125"/>
      <c r="G17" s="172"/>
      <c r="H17" s="172"/>
      <c r="I17" s="172"/>
      <c r="J17" s="174" t="str">
        <f t="shared" si="0"/>
        <v/>
      </c>
    </row>
    <row r="18" spans="2:10" ht="27.6" customHeight="1" x14ac:dyDescent="0.2">
      <c r="B18" s="121"/>
      <c r="C18" s="124"/>
      <c r="D18" s="123"/>
      <c r="E18" s="119" t="s">
        <v>42</v>
      </c>
      <c r="F18" s="125"/>
      <c r="G18" s="172"/>
      <c r="H18" s="172"/>
      <c r="I18" s="172"/>
      <c r="J18" s="174" t="str">
        <f t="shared" si="0"/>
        <v/>
      </c>
    </row>
    <row r="19" spans="2:10" ht="27.6" customHeight="1" x14ac:dyDescent="0.2">
      <c r="B19" s="121"/>
      <c r="C19" s="124"/>
      <c r="D19" s="123"/>
      <c r="E19" s="119" t="s">
        <v>42</v>
      </c>
      <c r="F19" s="125"/>
      <c r="G19" s="172"/>
      <c r="H19" s="172"/>
      <c r="I19" s="172"/>
      <c r="J19" s="174" t="str">
        <f t="shared" si="0"/>
        <v/>
      </c>
    </row>
    <row r="20" spans="2:10" ht="27.6" customHeight="1" x14ac:dyDescent="0.2">
      <c r="B20" s="121"/>
      <c r="C20" s="122"/>
      <c r="D20" s="123"/>
      <c r="E20" s="119" t="s">
        <v>42</v>
      </c>
      <c r="F20" s="125"/>
      <c r="G20" s="172"/>
      <c r="H20" s="172"/>
      <c r="I20" s="172"/>
      <c r="J20" s="174" t="str">
        <f t="shared" si="0"/>
        <v/>
      </c>
    </row>
    <row r="21" spans="2:10" ht="27.6" customHeight="1" x14ac:dyDescent="0.2">
      <c r="B21" s="121"/>
      <c r="C21" s="122"/>
      <c r="D21" s="123"/>
      <c r="E21" s="119" t="s">
        <v>225</v>
      </c>
      <c r="F21" s="125"/>
      <c r="G21" s="172"/>
      <c r="H21" s="172"/>
      <c r="I21" s="172"/>
      <c r="J21" s="174" t="str">
        <f t="shared" si="0"/>
        <v/>
      </c>
    </row>
    <row r="22" spans="2:10" ht="27.6" customHeight="1" x14ac:dyDescent="0.2">
      <c r="B22" s="121"/>
      <c r="C22" s="122"/>
      <c r="D22" s="123"/>
      <c r="E22" s="119" t="s">
        <v>42</v>
      </c>
      <c r="F22" s="125"/>
      <c r="G22" s="172"/>
      <c r="H22" s="172"/>
      <c r="I22" s="172"/>
      <c r="J22" s="174" t="str">
        <f t="shared" si="0"/>
        <v/>
      </c>
    </row>
    <row r="23" spans="2:10" ht="27.6" customHeight="1" x14ac:dyDescent="0.2">
      <c r="B23" s="121"/>
      <c r="C23" s="122"/>
      <c r="D23" s="123"/>
      <c r="E23" s="119" t="s">
        <v>42</v>
      </c>
      <c r="F23" s="125"/>
      <c r="G23" s="172"/>
      <c r="H23" s="172"/>
      <c r="I23" s="172"/>
      <c r="J23" s="174" t="str">
        <f t="shared" si="0"/>
        <v/>
      </c>
    </row>
    <row r="24" spans="2:10" ht="27.6" customHeight="1" x14ac:dyDescent="0.2">
      <c r="B24" s="121"/>
      <c r="C24" s="122"/>
      <c r="D24" s="123"/>
      <c r="E24" s="119" t="s">
        <v>42</v>
      </c>
      <c r="F24" s="125"/>
      <c r="G24" s="172"/>
      <c r="H24" s="172"/>
      <c r="I24" s="172"/>
      <c r="J24" s="174" t="str">
        <f t="shared" si="0"/>
        <v/>
      </c>
    </row>
    <row r="25" spans="2:10" ht="27.6" customHeight="1" x14ac:dyDescent="0.2">
      <c r="B25" s="121"/>
      <c r="C25" s="122"/>
      <c r="D25" s="123"/>
      <c r="E25" s="119" t="s">
        <v>42</v>
      </c>
      <c r="F25" s="126"/>
      <c r="G25" s="172"/>
      <c r="H25" s="172"/>
      <c r="I25" s="172"/>
      <c r="J25" s="174" t="str">
        <f t="shared" si="0"/>
        <v/>
      </c>
    </row>
    <row r="26" spans="2:10" ht="27.6" customHeight="1" x14ac:dyDescent="0.2">
      <c r="B26" s="121"/>
      <c r="C26" s="122"/>
      <c r="D26" s="123"/>
      <c r="E26" s="119" t="s">
        <v>42</v>
      </c>
      <c r="F26" s="126"/>
      <c r="G26" s="172"/>
      <c r="H26" s="172"/>
      <c r="I26" s="172"/>
      <c r="J26" s="174" t="str">
        <f t="shared" si="0"/>
        <v/>
      </c>
    </row>
    <row r="27" spans="2:10" ht="27.6" customHeight="1" x14ac:dyDescent="0.2">
      <c r="B27" s="121"/>
      <c r="C27" s="122"/>
      <c r="D27" s="123"/>
      <c r="E27" s="119" t="s">
        <v>42</v>
      </c>
      <c r="F27" s="126"/>
      <c r="G27" s="172"/>
      <c r="H27" s="172"/>
      <c r="I27" s="172"/>
      <c r="J27" s="174" t="str">
        <f t="shared" si="0"/>
        <v/>
      </c>
    </row>
    <row r="28" spans="2:10" ht="27.6" customHeight="1" x14ac:dyDescent="0.2">
      <c r="B28" s="121"/>
      <c r="C28" s="122"/>
      <c r="D28" s="123"/>
      <c r="E28" s="119" t="s">
        <v>42</v>
      </c>
      <c r="F28" s="126"/>
      <c r="G28" s="172"/>
      <c r="H28" s="172"/>
      <c r="I28" s="172"/>
      <c r="J28" s="174" t="str">
        <f t="shared" si="0"/>
        <v/>
      </c>
    </row>
    <row r="29" spans="2:10" ht="27.6" customHeight="1" x14ac:dyDescent="0.2">
      <c r="B29" s="121"/>
      <c r="C29" s="122"/>
      <c r="D29" s="123"/>
      <c r="E29" s="119" t="s">
        <v>42</v>
      </c>
      <c r="F29" s="126"/>
      <c r="G29" s="172"/>
      <c r="H29" s="172"/>
      <c r="I29" s="172"/>
      <c r="J29" s="174" t="str">
        <f t="shared" si="0"/>
        <v/>
      </c>
    </row>
    <row r="30" spans="2:10" x14ac:dyDescent="0.2">
      <c r="B30" s="259" t="s">
        <v>159</v>
      </c>
      <c r="C30" s="260"/>
      <c r="D30" s="260"/>
      <c r="E30" s="260"/>
      <c r="F30" s="260"/>
      <c r="G30" s="265">
        <f>SUBTOTAL(9,G13:G29)</f>
        <v>0</v>
      </c>
      <c r="H30" s="265">
        <f>SUBTOTAL(9,H13:H29)</f>
        <v>0</v>
      </c>
      <c r="I30" s="265">
        <f>SUBTOTAL(9,I13:I29)</f>
        <v>0</v>
      </c>
      <c r="J30" s="263">
        <f>SUBTOTAL(9,J13:J29)</f>
        <v>0</v>
      </c>
    </row>
    <row r="31" spans="2:10" x14ac:dyDescent="0.2">
      <c r="B31" s="261"/>
      <c r="C31" s="262"/>
      <c r="D31" s="262"/>
      <c r="E31" s="262"/>
      <c r="F31" s="262"/>
      <c r="G31" s="266"/>
      <c r="H31" s="266"/>
      <c r="I31" s="266"/>
      <c r="J31" s="264"/>
    </row>
    <row r="32" spans="2:10" x14ac:dyDescent="0.2">
      <c r="G32" s="118"/>
    </row>
  </sheetData>
  <mergeCells count="13">
    <mergeCell ref="D12:F12"/>
    <mergeCell ref="B30:F31"/>
    <mergeCell ref="J30:J31"/>
    <mergeCell ref="G30:G31"/>
    <mergeCell ref="I30:I31"/>
    <mergeCell ref="H30:H31"/>
    <mergeCell ref="B2:J2"/>
    <mergeCell ref="B9:C9"/>
    <mergeCell ref="B7:C7"/>
    <mergeCell ref="B4:C4"/>
    <mergeCell ref="B5:C5"/>
    <mergeCell ref="H6:J6"/>
    <mergeCell ref="H9:I9"/>
  </mergeCells>
  <phoneticPr fontId="26"/>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6E865-F29E-4E6C-9449-0B1DF59899FC}">
  <sheetPr codeName="Sheet10">
    <pageSetUpPr fitToPage="1"/>
  </sheetPr>
  <dimension ref="B1:J32"/>
  <sheetViews>
    <sheetView showGridLines="0" workbookViewId="0">
      <pane ySplit="12" topLeftCell="A13" activePane="bottomLeft" state="frozenSplit"/>
      <selection pane="bottomLeft"/>
    </sheetView>
  </sheetViews>
  <sheetFormatPr defaultColWidth="8" defaultRowHeight="12" x14ac:dyDescent="0.2"/>
  <cols>
    <col min="1" max="1" width="2.77734375" style="113" customWidth="1"/>
    <col min="2" max="2" width="5.88671875" style="113" customWidth="1"/>
    <col min="3" max="3" width="28.44140625" style="113" customWidth="1"/>
    <col min="4" max="4" width="11" style="113" customWidth="1"/>
    <col min="5" max="5" width="3.109375" style="113" customWidth="1"/>
    <col min="6" max="6" width="11" style="113" customWidth="1"/>
    <col min="7" max="9" width="8.77734375" style="113" bestFit="1" customWidth="1"/>
    <col min="10" max="10" width="9.88671875" style="113" bestFit="1" customWidth="1"/>
    <col min="11" max="11" width="0.33203125" style="113" customWidth="1"/>
    <col min="12" max="12" width="0.88671875" style="113" customWidth="1"/>
    <col min="13" max="16384" width="8" style="113"/>
  </cols>
  <sheetData>
    <row r="1" spans="2:10" x14ac:dyDescent="0.2">
      <c r="J1" s="157" t="str">
        <f>祝日表!L2</f>
        <v>GREEN</v>
      </c>
    </row>
    <row r="2" spans="2:10" ht="19.2" x14ac:dyDescent="0.2">
      <c r="B2" s="267" t="str">
        <f>DBCS(TEXT(DATEVALUE(祝日表!A2 &amp; "/" &amp; 祝日表!B2 &amp; "/1"),"ggge年m月")) &amp; "度　立替経費等報告書"</f>
        <v>令和２年４月度　立替経費等報告書</v>
      </c>
      <c r="C2" s="267"/>
      <c r="D2" s="267"/>
      <c r="E2" s="267"/>
      <c r="F2" s="267"/>
      <c r="G2" s="267"/>
      <c r="H2" s="267"/>
      <c r="I2" s="267"/>
      <c r="J2" s="267"/>
    </row>
    <row r="4" spans="2:10" x14ac:dyDescent="0.2">
      <c r="B4" s="268"/>
      <c r="C4" s="268"/>
    </row>
    <row r="5" spans="2:10" x14ac:dyDescent="0.2">
      <c r="B5" s="268"/>
      <c r="C5" s="268"/>
    </row>
    <row r="6" spans="2:10" x14ac:dyDescent="0.2">
      <c r="H6" s="270"/>
      <c r="I6" s="270"/>
      <c r="J6" s="270"/>
    </row>
    <row r="7" spans="2:10" ht="13.2" x14ac:dyDescent="0.2">
      <c r="B7" s="269"/>
      <c r="C7" s="269"/>
      <c r="D7" s="114"/>
      <c r="E7" s="114"/>
    </row>
    <row r="8" spans="2:10" x14ac:dyDescent="0.2">
      <c r="B8" s="113" t="s">
        <v>151</v>
      </c>
    </row>
    <row r="9" spans="2:10" x14ac:dyDescent="0.2">
      <c r="B9" s="268"/>
      <c r="C9" s="268"/>
      <c r="E9" s="157" t="s">
        <v>219</v>
      </c>
      <c r="F9" s="113" t="str">
        <f>祝日表!C2</f>
        <v>xxx</v>
      </c>
      <c r="G9" s="113" t="s">
        <v>152</v>
      </c>
      <c r="H9" s="268" t="str">
        <f>祝日表!D2</f>
        <v>xxx</v>
      </c>
      <c r="I9" s="268"/>
    </row>
    <row r="12" spans="2:10" ht="14.1" customHeight="1" x14ac:dyDescent="0.2">
      <c r="B12" s="115" t="s">
        <v>153</v>
      </c>
      <c r="C12" s="116" t="s">
        <v>160</v>
      </c>
      <c r="D12" s="256" t="s">
        <v>154</v>
      </c>
      <c r="E12" s="257"/>
      <c r="F12" s="258"/>
      <c r="G12" s="116" t="s">
        <v>155</v>
      </c>
      <c r="H12" s="116" t="s">
        <v>156</v>
      </c>
      <c r="I12" s="116" t="s">
        <v>157</v>
      </c>
      <c r="J12" s="117" t="s">
        <v>158</v>
      </c>
    </row>
    <row r="13" spans="2:10" ht="27.6" customHeight="1" x14ac:dyDescent="0.2">
      <c r="B13" s="129"/>
      <c r="C13" s="120"/>
      <c r="D13" s="165"/>
      <c r="E13" s="119" t="s">
        <v>42</v>
      </c>
      <c r="F13" s="166"/>
      <c r="G13" s="172"/>
      <c r="H13" s="173"/>
      <c r="I13" s="173"/>
      <c r="J13" s="174" t="str">
        <f t="shared" ref="J13:J29" si="0">IF(SUM(G13:I13)=0,"",SUM(G13:I13))</f>
        <v/>
      </c>
    </row>
    <row r="14" spans="2:10" ht="27.6" customHeight="1" x14ac:dyDescent="0.2">
      <c r="B14" s="121"/>
      <c r="C14" s="122"/>
      <c r="D14" s="123"/>
      <c r="E14" s="119" t="s">
        <v>42</v>
      </c>
      <c r="F14" s="125"/>
      <c r="G14" s="172"/>
      <c r="H14" s="172"/>
      <c r="I14" s="172"/>
      <c r="J14" s="174" t="str">
        <f t="shared" si="0"/>
        <v/>
      </c>
    </row>
    <row r="15" spans="2:10" ht="27.6" customHeight="1" x14ac:dyDescent="0.2">
      <c r="B15" s="121"/>
      <c r="C15" s="122"/>
      <c r="D15" s="123"/>
      <c r="E15" s="119" t="s">
        <v>42</v>
      </c>
      <c r="F15" s="125"/>
      <c r="G15" s="172"/>
      <c r="H15" s="172"/>
      <c r="I15" s="172"/>
      <c r="J15" s="174" t="str">
        <f t="shared" si="0"/>
        <v/>
      </c>
    </row>
    <row r="16" spans="2:10" ht="27.6" customHeight="1" x14ac:dyDescent="0.2">
      <c r="B16" s="121"/>
      <c r="C16" s="122"/>
      <c r="D16" s="123"/>
      <c r="E16" s="119" t="s">
        <v>42</v>
      </c>
      <c r="F16" s="125"/>
      <c r="G16" s="172"/>
      <c r="H16" s="172"/>
      <c r="I16" s="172"/>
      <c r="J16" s="174" t="str">
        <f t="shared" si="0"/>
        <v/>
      </c>
    </row>
    <row r="17" spans="2:10" ht="27.6" customHeight="1" x14ac:dyDescent="0.2">
      <c r="B17" s="121"/>
      <c r="C17" s="124"/>
      <c r="D17" s="123"/>
      <c r="E17" s="119" t="s">
        <v>42</v>
      </c>
      <c r="F17" s="125"/>
      <c r="G17" s="172"/>
      <c r="H17" s="172"/>
      <c r="I17" s="172"/>
      <c r="J17" s="174" t="str">
        <f t="shared" si="0"/>
        <v/>
      </c>
    </row>
    <row r="18" spans="2:10" ht="27.6" customHeight="1" x14ac:dyDescent="0.2">
      <c r="B18" s="121"/>
      <c r="C18" s="124"/>
      <c r="D18" s="123"/>
      <c r="E18" s="119" t="s">
        <v>42</v>
      </c>
      <c r="F18" s="125"/>
      <c r="G18" s="172"/>
      <c r="H18" s="172"/>
      <c r="I18" s="172"/>
      <c r="J18" s="174" t="str">
        <f t="shared" si="0"/>
        <v/>
      </c>
    </row>
    <row r="19" spans="2:10" ht="27.6" customHeight="1" x14ac:dyDescent="0.2">
      <c r="B19" s="121"/>
      <c r="C19" s="124"/>
      <c r="D19" s="123"/>
      <c r="E19" s="119" t="s">
        <v>42</v>
      </c>
      <c r="F19" s="125"/>
      <c r="G19" s="172"/>
      <c r="H19" s="172"/>
      <c r="I19" s="172"/>
      <c r="J19" s="174" t="str">
        <f t="shared" si="0"/>
        <v/>
      </c>
    </row>
    <row r="20" spans="2:10" ht="27.6" customHeight="1" x14ac:dyDescent="0.2">
      <c r="B20" s="121"/>
      <c r="C20" s="122"/>
      <c r="D20" s="123"/>
      <c r="E20" s="119" t="s">
        <v>42</v>
      </c>
      <c r="F20" s="125"/>
      <c r="G20" s="172"/>
      <c r="H20" s="172"/>
      <c r="I20" s="172"/>
      <c r="J20" s="174" t="str">
        <f t="shared" si="0"/>
        <v/>
      </c>
    </row>
    <row r="21" spans="2:10" ht="27.6" customHeight="1" x14ac:dyDescent="0.2">
      <c r="B21" s="121"/>
      <c r="C21" s="122"/>
      <c r="D21" s="123"/>
      <c r="E21" s="119" t="s">
        <v>42</v>
      </c>
      <c r="F21" s="125"/>
      <c r="G21" s="172"/>
      <c r="H21" s="172"/>
      <c r="I21" s="172"/>
      <c r="J21" s="174" t="str">
        <f t="shared" si="0"/>
        <v/>
      </c>
    </row>
    <row r="22" spans="2:10" ht="27.6" customHeight="1" x14ac:dyDescent="0.2">
      <c r="B22" s="121"/>
      <c r="C22" s="122"/>
      <c r="D22" s="123"/>
      <c r="E22" s="119" t="s">
        <v>42</v>
      </c>
      <c r="F22" s="125"/>
      <c r="G22" s="172"/>
      <c r="H22" s="172"/>
      <c r="I22" s="172"/>
      <c r="J22" s="174" t="str">
        <f t="shared" si="0"/>
        <v/>
      </c>
    </row>
    <row r="23" spans="2:10" ht="27.6" customHeight="1" x14ac:dyDescent="0.2">
      <c r="B23" s="121"/>
      <c r="C23" s="122"/>
      <c r="D23" s="123"/>
      <c r="E23" s="119" t="s">
        <v>42</v>
      </c>
      <c r="F23" s="125"/>
      <c r="G23" s="172"/>
      <c r="H23" s="172"/>
      <c r="I23" s="172"/>
      <c r="J23" s="174" t="str">
        <f t="shared" si="0"/>
        <v/>
      </c>
    </row>
    <row r="24" spans="2:10" ht="27.6" customHeight="1" x14ac:dyDescent="0.2">
      <c r="B24" s="121"/>
      <c r="C24" s="122"/>
      <c r="D24" s="123"/>
      <c r="E24" s="119" t="s">
        <v>42</v>
      </c>
      <c r="F24" s="125"/>
      <c r="G24" s="172"/>
      <c r="H24" s="172"/>
      <c r="I24" s="172"/>
      <c r="J24" s="174" t="str">
        <f t="shared" si="0"/>
        <v/>
      </c>
    </row>
    <row r="25" spans="2:10" ht="27.6" customHeight="1" x14ac:dyDescent="0.2">
      <c r="B25" s="121"/>
      <c r="C25" s="122"/>
      <c r="D25" s="123"/>
      <c r="E25" s="119" t="s">
        <v>42</v>
      </c>
      <c r="F25" s="126"/>
      <c r="G25" s="172"/>
      <c r="H25" s="172"/>
      <c r="I25" s="172"/>
      <c r="J25" s="174" t="str">
        <f t="shared" si="0"/>
        <v/>
      </c>
    </row>
    <row r="26" spans="2:10" ht="27.6" customHeight="1" x14ac:dyDescent="0.2">
      <c r="B26" s="121"/>
      <c r="C26" s="122"/>
      <c r="D26" s="123"/>
      <c r="E26" s="119" t="s">
        <v>42</v>
      </c>
      <c r="F26" s="126"/>
      <c r="G26" s="172"/>
      <c r="H26" s="172"/>
      <c r="I26" s="172"/>
      <c r="J26" s="174" t="str">
        <f t="shared" si="0"/>
        <v/>
      </c>
    </row>
    <row r="27" spans="2:10" ht="27.6" customHeight="1" x14ac:dyDescent="0.2">
      <c r="B27" s="121"/>
      <c r="C27" s="122"/>
      <c r="D27" s="123"/>
      <c r="E27" s="119" t="s">
        <v>42</v>
      </c>
      <c r="F27" s="126"/>
      <c r="G27" s="172"/>
      <c r="H27" s="172"/>
      <c r="I27" s="172"/>
      <c r="J27" s="174" t="str">
        <f t="shared" si="0"/>
        <v/>
      </c>
    </row>
    <row r="28" spans="2:10" ht="27.6" customHeight="1" x14ac:dyDescent="0.2">
      <c r="B28" s="121"/>
      <c r="C28" s="122"/>
      <c r="D28" s="123"/>
      <c r="E28" s="119" t="s">
        <v>42</v>
      </c>
      <c r="F28" s="126"/>
      <c r="G28" s="172"/>
      <c r="H28" s="172"/>
      <c r="I28" s="172"/>
      <c r="J28" s="174" t="str">
        <f t="shared" si="0"/>
        <v/>
      </c>
    </row>
    <row r="29" spans="2:10" ht="27.6" customHeight="1" x14ac:dyDescent="0.2">
      <c r="B29" s="121"/>
      <c r="C29" s="122"/>
      <c r="D29" s="123"/>
      <c r="E29" s="119" t="s">
        <v>42</v>
      </c>
      <c r="F29" s="126"/>
      <c r="G29" s="172"/>
      <c r="H29" s="172"/>
      <c r="I29" s="172"/>
      <c r="J29" s="174" t="str">
        <f t="shared" si="0"/>
        <v/>
      </c>
    </row>
    <row r="30" spans="2:10" x14ac:dyDescent="0.2">
      <c r="B30" s="259" t="s">
        <v>159</v>
      </c>
      <c r="C30" s="260"/>
      <c r="D30" s="260"/>
      <c r="E30" s="260"/>
      <c r="F30" s="260"/>
      <c r="G30" s="265">
        <f>SUBTOTAL(9,G13:G29)</f>
        <v>0</v>
      </c>
      <c r="H30" s="265">
        <f>SUBTOTAL(9,H13:H29)</f>
        <v>0</v>
      </c>
      <c r="I30" s="265">
        <f>SUBTOTAL(9,I13:I29)</f>
        <v>0</v>
      </c>
      <c r="J30" s="263">
        <f>SUBTOTAL(9,J13:J29)</f>
        <v>0</v>
      </c>
    </row>
    <row r="31" spans="2:10" x14ac:dyDescent="0.2">
      <c r="B31" s="261"/>
      <c r="C31" s="262"/>
      <c r="D31" s="262"/>
      <c r="E31" s="262"/>
      <c r="F31" s="262"/>
      <c r="G31" s="266"/>
      <c r="H31" s="266"/>
      <c r="I31" s="266"/>
      <c r="J31" s="264"/>
    </row>
    <row r="32" spans="2:10" x14ac:dyDescent="0.2">
      <c r="G32" s="118"/>
    </row>
  </sheetData>
  <mergeCells count="13">
    <mergeCell ref="B2:J2"/>
    <mergeCell ref="B9:C9"/>
    <mergeCell ref="B7:C7"/>
    <mergeCell ref="B4:C4"/>
    <mergeCell ref="B5:C5"/>
    <mergeCell ref="H6:J6"/>
    <mergeCell ref="H9:I9"/>
    <mergeCell ref="D12:F12"/>
    <mergeCell ref="B30:F31"/>
    <mergeCell ref="J30:J31"/>
    <mergeCell ref="G30:G31"/>
    <mergeCell ref="I30:I31"/>
    <mergeCell ref="H30:H31"/>
  </mergeCells>
  <phoneticPr fontId="26"/>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D91B-9AF0-4A36-95A1-5077AFDCC107}">
  <sheetPr codeName="Sheet7"/>
  <dimension ref="A1:D21"/>
  <sheetViews>
    <sheetView showGridLines="0" zoomScaleNormal="100" workbookViewId="0"/>
  </sheetViews>
  <sheetFormatPr defaultRowHeight="13.2" x14ac:dyDescent="0.2"/>
  <cols>
    <col min="1" max="1" width="6.88671875" bestFit="1" customWidth="1"/>
    <col min="2" max="2" width="46.33203125" bestFit="1" customWidth="1"/>
    <col min="3" max="3" width="69.77734375" style="28" bestFit="1" customWidth="1"/>
  </cols>
  <sheetData>
    <row r="1" spans="1:4" x14ac:dyDescent="0.2">
      <c r="A1" s="100" t="s">
        <v>91</v>
      </c>
      <c r="B1" s="100" t="s">
        <v>92</v>
      </c>
      <c r="C1" s="104" t="s">
        <v>93</v>
      </c>
      <c r="D1" t="str">
        <f>祝日表!L2</f>
        <v>GREEN</v>
      </c>
    </row>
    <row r="2" spans="1:4" x14ac:dyDescent="0.2">
      <c r="A2" s="101" t="s">
        <v>94</v>
      </c>
      <c r="B2" s="101" t="s">
        <v>95</v>
      </c>
      <c r="C2" s="105" t="s">
        <v>96</v>
      </c>
    </row>
    <row r="3" spans="1:4" x14ac:dyDescent="0.2">
      <c r="A3" s="102" t="s">
        <v>98</v>
      </c>
      <c r="B3" s="102" t="s">
        <v>112</v>
      </c>
      <c r="C3" s="106" t="s">
        <v>113</v>
      </c>
    </row>
    <row r="4" spans="1:4" x14ac:dyDescent="0.2">
      <c r="A4" s="102" t="s">
        <v>100</v>
      </c>
      <c r="B4" s="102" t="s">
        <v>97</v>
      </c>
      <c r="C4" s="106" t="s">
        <v>99</v>
      </c>
    </row>
    <row r="5" spans="1:4" ht="26.4" x14ac:dyDescent="0.2">
      <c r="A5" s="102" t="s">
        <v>101</v>
      </c>
      <c r="B5" s="102" t="s">
        <v>114</v>
      </c>
      <c r="C5" s="107" t="s">
        <v>130</v>
      </c>
    </row>
    <row r="6" spans="1:4" ht="26.4" x14ac:dyDescent="0.2">
      <c r="A6" s="102" t="s">
        <v>102</v>
      </c>
      <c r="B6" s="102" t="s">
        <v>122</v>
      </c>
      <c r="C6" s="107" t="s">
        <v>131</v>
      </c>
    </row>
    <row r="7" spans="1:4" x14ac:dyDescent="0.2">
      <c r="A7" s="102" t="s">
        <v>103</v>
      </c>
      <c r="B7" s="102" t="s">
        <v>115</v>
      </c>
      <c r="C7" s="106" t="s">
        <v>132</v>
      </c>
    </row>
    <row r="8" spans="1:4" x14ac:dyDescent="0.2">
      <c r="A8" s="102" t="s">
        <v>104</v>
      </c>
      <c r="B8" s="102" t="s">
        <v>123</v>
      </c>
      <c r="C8" s="106" t="s">
        <v>133</v>
      </c>
    </row>
    <row r="9" spans="1:4" x14ac:dyDescent="0.2">
      <c r="A9" s="102" t="s">
        <v>105</v>
      </c>
      <c r="B9" s="102" t="s">
        <v>124</v>
      </c>
      <c r="C9" s="106" t="s">
        <v>207</v>
      </c>
    </row>
    <row r="10" spans="1:4" x14ac:dyDescent="0.2">
      <c r="A10" s="102" t="s">
        <v>106</v>
      </c>
      <c r="B10" s="102" t="s">
        <v>116</v>
      </c>
      <c r="C10" s="106" t="s">
        <v>134</v>
      </c>
    </row>
    <row r="11" spans="1:4" x14ac:dyDescent="0.2">
      <c r="A11" s="102" t="s">
        <v>107</v>
      </c>
      <c r="B11" s="102" t="s">
        <v>149</v>
      </c>
      <c r="C11" s="106" t="s">
        <v>150</v>
      </c>
    </row>
    <row r="12" spans="1:4" x14ac:dyDescent="0.2">
      <c r="A12" s="102" t="s">
        <v>108</v>
      </c>
      <c r="B12" s="102" t="s">
        <v>125</v>
      </c>
      <c r="C12" s="106" t="s">
        <v>142</v>
      </c>
    </row>
    <row r="13" spans="1:4" x14ac:dyDescent="0.2">
      <c r="A13" s="102" t="s">
        <v>109</v>
      </c>
      <c r="B13" s="102" t="s">
        <v>126</v>
      </c>
      <c r="C13" s="106" t="s">
        <v>208</v>
      </c>
    </row>
    <row r="14" spans="1:4" x14ac:dyDescent="0.2">
      <c r="A14" s="102" t="s">
        <v>110</v>
      </c>
      <c r="B14" s="102" t="s">
        <v>146</v>
      </c>
      <c r="C14" s="106" t="s">
        <v>209</v>
      </c>
    </row>
    <row r="15" spans="1:4" ht="52.8" x14ac:dyDescent="0.2">
      <c r="A15" s="102" t="s">
        <v>111</v>
      </c>
      <c r="B15" s="102" t="s">
        <v>144</v>
      </c>
      <c r="C15" s="107" t="s">
        <v>145</v>
      </c>
    </row>
    <row r="16" spans="1:4" x14ac:dyDescent="0.2">
      <c r="A16" s="102" t="s">
        <v>147</v>
      </c>
      <c r="B16" s="102" t="s">
        <v>127</v>
      </c>
      <c r="C16" s="106" t="s">
        <v>135</v>
      </c>
    </row>
    <row r="17" spans="1:3" x14ac:dyDescent="0.2">
      <c r="A17" s="102" t="s">
        <v>143</v>
      </c>
      <c r="B17" s="102" t="s">
        <v>128</v>
      </c>
      <c r="C17" s="106" t="s">
        <v>136</v>
      </c>
    </row>
    <row r="18" spans="1:3" x14ac:dyDescent="0.2">
      <c r="A18" s="102" t="s">
        <v>148</v>
      </c>
      <c r="B18" s="109" t="s">
        <v>129</v>
      </c>
      <c r="C18" s="110" t="s">
        <v>137</v>
      </c>
    </row>
    <row r="19" spans="1:3" x14ac:dyDescent="0.2">
      <c r="A19" s="102" t="s">
        <v>217</v>
      </c>
      <c r="B19" s="109" t="s">
        <v>213</v>
      </c>
      <c r="C19" s="110" t="s">
        <v>214</v>
      </c>
    </row>
    <row r="20" spans="1:3" x14ac:dyDescent="0.2">
      <c r="A20" s="102" t="s">
        <v>218</v>
      </c>
      <c r="B20" s="109" t="s">
        <v>215</v>
      </c>
      <c r="C20" s="160" t="s">
        <v>216</v>
      </c>
    </row>
    <row r="21" spans="1:3" x14ac:dyDescent="0.2">
      <c r="A21" s="103"/>
      <c r="B21" s="103"/>
      <c r="C21" s="111"/>
    </row>
  </sheetData>
  <phoneticPr fontId="22"/>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A6274-79FD-4A72-8B76-2A5B41B99A1C}">
  <sheetPr codeName="Sheet5"/>
  <dimension ref="A1:D6"/>
  <sheetViews>
    <sheetView workbookViewId="0"/>
  </sheetViews>
  <sheetFormatPr defaultRowHeight="13.2" x14ac:dyDescent="0.2"/>
  <cols>
    <col min="1" max="1" width="22.88671875" bestFit="1" customWidth="1"/>
    <col min="2" max="2" width="9.77734375" bestFit="1" customWidth="1"/>
    <col min="3" max="3" width="7.109375" bestFit="1" customWidth="1"/>
  </cols>
  <sheetData>
    <row r="1" spans="1:4" x14ac:dyDescent="0.2">
      <c r="A1" s="155" t="s">
        <v>239</v>
      </c>
      <c r="B1" s="155" t="s">
        <v>186</v>
      </c>
      <c r="C1" s="155" t="s">
        <v>171</v>
      </c>
      <c r="D1" s="155" t="s">
        <v>240</v>
      </c>
    </row>
    <row r="2" spans="1:4" x14ac:dyDescent="0.2">
      <c r="A2" t="s">
        <v>235</v>
      </c>
      <c r="B2" t="s">
        <v>181</v>
      </c>
      <c r="C2" t="s">
        <v>232</v>
      </c>
      <c r="D2" t="s">
        <v>221</v>
      </c>
    </row>
    <row r="3" spans="1:4" x14ac:dyDescent="0.2">
      <c r="A3" t="s">
        <v>243</v>
      </c>
      <c r="B3" t="s">
        <v>188</v>
      </c>
      <c r="C3" t="s">
        <v>226</v>
      </c>
      <c r="D3" t="s">
        <v>236</v>
      </c>
    </row>
    <row r="4" spans="1:4" x14ac:dyDescent="0.2">
      <c r="A4" t="s">
        <v>187</v>
      </c>
      <c r="B4" t="s">
        <v>190</v>
      </c>
      <c r="D4" t="s">
        <v>237</v>
      </c>
    </row>
    <row r="5" spans="1:4" x14ac:dyDescent="0.2">
      <c r="A5" t="s">
        <v>189</v>
      </c>
      <c r="D5" t="s">
        <v>238</v>
      </c>
    </row>
    <row r="6" spans="1:4" x14ac:dyDescent="0.2">
      <c r="D6" t="s">
        <v>190</v>
      </c>
    </row>
  </sheetData>
  <phoneticPr fontId="22"/>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F75F9-B2ED-44A3-B25D-45586143E064}">
  <sheetPr codeName="Sheet6"/>
  <dimension ref="A1:S32"/>
  <sheetViews>
    <sheetView showGridLines="0" workbookViewId="0">
      <selection activeCell="C30" sqref="C30"/>
    </sheetView>
  </sheetViews>
  <sheetFormatPr defaultColWidth="8.77734375" defaultRowHeight="13.2" x14ac:dyDescent="0.2"/>
  <sheetData>
    <row r="1" spans="1:19" x14ac:dyDescent="0.2">
      <c r="A1" s="6" t="s">
        <v>41</v>
      </c>
      <c r="B1" s="7" t="s">
        <v>43</v>
      </c>
      <c r="C1" s="17" t="s">
        <v>44</v>
      </c>
      <c r="D1" s="17" t="s">
        <v>45</v>
      </c>
      <c r="E1" s="10" t="s">
        <v>22</v>
      </c>
      <c r="F1" s="11" t="s">
        <v>23</v>
      </c>
      <c r="G1" s="12" t="s">
        <v>46</v>
      </c>
      <c r="H1" s="23" t="s">
        <v>47</v>
      </c>
      <c r="I1" s="24"/>
      <c r="J1" s="24"/>
      <c r="K1" s="24"/>
      <c r="L1" s="24"/>
      <c r="M1" s="24"/>
      <c r="N1" s="24"/>
      <c r="O1" s="24"/>
      <c r="P1" s="24"/>
      <c r="Q1" s="24"/>
      <c r="R1" s="24"/>
      <c r="S1" s="25"/>
    </row>
    <row r="2" spans="1:19" x14ac:dyDescent="0.2">
      <c r="A2" s="2">
        <v>1</v>
      </c>
      <c r="B2" s="3">
        <v>0</v>
      </c>
      <c r="C2" s="29">
        <f>祝日表!A2</f>
        <v>2020</v>
      </c>
      <c r="D2" s="29">
        <f>祝日表!B2</f>
        <v>4</v>
      </c>
      <c r="E2" s="9">
        <v>1</v>
      </c>
      <c r="F2" s="13" t="str">
        <f>IF(E2="","",CHOOSE(WEEKDAY(DATE($C$2,$D$2,E2),2),"月曜","火曜","水曜","木曜","金曜","土曜","日曜"))</f>
        <v>水曜</v>
      </c>
      <c r="G2" s="112">
        <v>0</v>
      </c>
      <c r="H2" s="1" t="s">
        <v>48</v>
      </c>
      <c r="I2" s="5" t="s">
        <v>49</v>
      </c>
      <c r="J2" s="5" t="s">
        <v>50</v>
      </c>
      <c r="K2" s="5" t="s">
        <v>51</v>
      </c>
      <c r="L2" s="5" t="s">
        <v>52</v>
      </c>
      <c r="M2" s="5" t="s">
        <v>53</v>
      </c>
      <c r="N2" s="5" t="s">
        <v>54</v>
      </c>
      <c r="O2" s="5" t="s">
        <v>55</v>
      </c>
      <c r="P2" s="5" t="s">
        <v>56</v>
      </c>
      <c r="Q2" s="5" t="s">
        <v>57</v>
      </c>
      <c r="R2" s="5" t="s">
        <v>58</v>
      </c>
      <c r="S2" s="5" t="s">
        <v>59</v>
      </c>
    </row>
    <row r="3" spans="1:19" x14ac:dyDescent="0.2">
      <c r="A3" s="2">
        <v>2</v>
      </c>
      <c r="B3" s="3">
        <v>2</v>
      </c>
      <c r="C3" s="8" t="s">
        <v>60</v>
      </c>
      <c r="E3" s="2">
        <v>2</v>
      </c>
      <c r="F3" s="14" t="str">
        <f>IF(E3="","",CHOOSE(WEEKDAY(DATE($C$2,$D$2,E3),2),"月曜","火曜","水曜","木曜","金曜","土曜","日曜"))</f>
        <v>木曜</v>
      </c>
      <c r="G3" s="3">
        <v>0</v>
      </c>
      <c r="H3" s="16">
        <v>1</v>
      </c>
      <c r="I3" s="3">
        <v>11</v>
      </c>
      <c r="J3" s="3"/>
      <c r="K3" s="3">
        <v>29</v>
      </c>
      <c r="L3" s="3">
        <v>3</v>
      </c>
      <c r="M3" s="3"/>
      <c r="N3" s="3"/>
      <c r="O3" s="3"/>
      <c r="P3" s="3"/>
      <c r="Q3" s="3"/>
      <c r="R3" s="3">
        <v>3</v>
      </c>
      <c r="S3" s="3">
        <v>23</v>
      </c>
    </row>
    <row r="4" spans="1:19" x14ac:dyDescent="0.2">
      <c r="A4" s="2">
        <v>3</v>
      </c>
      <c r="B4" s="3">
        <v>0</v>
      </c>
      <c r="C4" s="1">
        <f>IF(MOD(C2,4)=0,IF(MOD(C2,100)=0,IF(MOD(C2,400)=0,0,1),0),1)</f>
        <v>0</v>
      </c>
      <c r="E4" s="2">
        <v>3</v>
      </c>
      <c r="F4" s="14" t="str">
        <f t="shared" ref="F4:F19" si="0">IF(E4="","",CHOOSE(WEEKDAY(DATE($C$2,$D$2,E4),2),"月曜","火曜","水曜","木曜","金曜","土曜","日曜"))</f>
        <v>金曜</v>
      </c>
      <c r="G4" s="3">
        <v>0</v>
      </c>
      <c r="H4" s="16"/>
      <c r="I4" s="3"/>
      <c r="J4" s="3"/>
      <c r="K4" s="3"/>
      <c r="L4" s="3">
        <v>5</v>
      </c>
      <c r="M4" s="3"/>
      <c r="N4" s="3"/>
      <c r="O4" s="3"/>
      <c r="P4" s="3"/>
      <c r="Q4" s="3"/>
      <c r="R4" s="3">
        <v>23</v>
      </c>
      <c r="S4" s="3"/>
    </row>
    <row r="5" spans="1:19" x14ac:dyDescent="0.2">
      <c r="A5" s="2">
        <v>4</v>
      </c>
      <c r="B5" s="3">
        <v>1</v>
      </c>
      <c r="E5" s="2">
        <v>4</v>
      </c>
      <c r="F5" s="14" t="str">
        <f t="shared" si="0"/>
        <v>土曜</v>
      </c>
      <c r="G5" s="3">
        <v>1</v>
      </c>
      <c r="H5" s="1"/>
      <c r="I5" s="5"/>
      <c r="J5" s="5"/>
      <c r="K5" s="5"/>
      <c r="L5" s="5"/>
      <c r="M5" s="5"/>
      <c r="N5" s="5"/>
      <c r="O5" s="5"/>
      <c r="P5" s="5"/>
      <c r="Q5" s="5"/>
      <c r="R5" s="5"/>
      <c r="S5" s="5"/>
    </row>
    <row r="6" spans="1:19" x14ac:dyDescent="0.2">
      <c r="A6" s="2">
        <v>5</v>
      </c>
      <c r="B6" s="3">
        <v>0</v>
      </c>
      <c r="E6" s="2">
        <v>5</v>
      </c>
      <c r="F6" s="14" t="str">
        <f t="shared" si="0"/>
        <v>日曜</v>
      </c>
      <c r="G6" s="3">
        <v>2</v>
      </c>
    </row>
    <row r="7" spans="1:19" x14ac:dyDescent="0.2">
      <c r="A7" s="2">
        <v>6</v>
      </c>
      <c r="B7" s="3">
        <v>1</v>
      </c>
      <c r="E7" s="2">
        <v>6</v>
      </c>
      <c r="F7" s="14" t="str">
        <f t="shared" si="0"/>
        <v>月曜</v>
      </c>
      <c r="G7" s="3">
        <v>0</v>
      </c>
    </row>
    <row r="8" spans="1:19" x14ac:dyDescent="0.2">
      <c r="A8" s="2">
        <v>7</v>
      </c>
      <c r="B8" s="3">
        <v>0</v>
      </c>
      <c r="E8" s="2">
        <v>7</v>
      </c>
      <c r="F8" s="14" t="str">
        <f t="shared" si="0"/>
        <v>火曜</v>
      </c>
      <c r="G8" s="3">
        <v>0</v>
      </c>
    </row>
    <row r="9" spans="1:19" x14ac:dyDescent="0.2">
      <c r="A9" s="2">
        <v>8</v>
      </c>
      <c r="B9" s="3">
        <v>0</v>
      </c>
      <c r="E9" s="2">
        <v>8</v>
      </c>
      <c r="F9" s="14" t="str">
        <f t="shared" si="0"/>
        <v>水曜</v>
      </c>
      <c r="G9" s="3">
        <v>0</v>
      </c>
    </row>
    <row r="10" spans="1:19" x14ac:dyDescent="0.2">
      <c r="A10" s="2">
        <v>9</v>
      </c>
      <c r="B10" s="3">
        <v>1</v>
      </c>
      <c r="E10" s="2">
        <v>9</v>
      </c>
      <c r="F10" s="14" t="str">
        <f t="shared" si="0"/>
        <v>木曜</v>
      </c>
      <c r="G10" s="3">
        <v>0</v>
      </c>
    </row>
    <row r="11" spans="1:19" x14ac:dyDescent="0.2">
      <c r="A11" s="2">
        <v>10</v>
      </c>
      <c r="B11" s="3">
        <v>0</v>
      </c>
      <c r="E11" s="2">
        <v>10</v>
      </c>
      <c r="F11" s="14" t="str">
        <f t="shared" si="0"/>
        <v>金曜</v>
      </c>
      <c r="G11" s="3">
        <v>0</v>
      </c>
    </row>
    <row r="12" spans="1:19" x14ac:dyDescent="0.2">
      <c r="A12" s="2">
        <v>11</v>
      </c>
      <c r="B12" s="3">
        <v>1</v>
      </c>
      <c r="E12" s="2">
        <v>11</v>
      </c>
      <c r="F12" s="14" t="str">
        <f t="shared" si="0"/>
        <v>土曜</v>
      </c>
      <c r="G12" s="3">
        <v>1</v>
      </c>
    </row>
    <row r="13" spans="1:19" x14ac:dyDescent="0.2">
      <c r="A13" s="4">
        <v>12</v>
      </c>
      <c r="B13" s="5">
        <v>0</v>
      </c>
      <c r="E13" s="2">
        <v>12</v>
      </c>
      <c r="F13" s="14" t="str">
        <f t="shared" si="0"/>
        <v>日曜</v>
      </c>
      <c r="G13" s="3">
        <v>2</v>
      </c>
    </row>
    <row r="14" spans="1:19" x14ac:dyDescent="0.2">
      <c r="E14" s="2">
        <v>13</v>
      </c>
      <c r="F14" s="14" t="str">
        <f t="shared" si="0"/>
        <v>月曜</v>
      </c>
      <c r="G14" s="3">
        <v>0</v>
      </c>
    </row>
    <row r="15" spans="1:19" x14ac:dyDescent="0.2">
      <c r="E15" s="2">
        <v>14</v>
      </c>
      <c r="F15" s="14" t="str">
        <f t="shared" si="0"/>
        <v>火曜</v>
      </c>
      <c r="G15" s="3">
        <v>0</v>
      </c>
    </row>
    <row r="16" spans="1:19" x14ac:dyDescent="0.2">
      <c r="E16" s="2">
        <v>15</v>
      </c>
      <c r="F16" s="14" t="str">
        <f t="shared" si="0"/>
        <v>水曜</v>
      </c>
      <c r="G16" s="3">
        <v>0</v>
      </c>
    </row>
    <row r="17" spans="5:7" x14ac:dyDescent="0.2">
      <c r="E17" s="2">
        <v>16</v>
      </c>
      <c r="F17" s="14" t="str">
        <f t="shared" si="0"/>
        <v>木曜</v>
      </c>
      <c r="G17" s="3">
        <v>0</v>
      </c>
    </row>
    <row r="18" spans="5:7" x14ac:dyDescent="0.2">
      <c r="E18" s="2">
        <v>17</v>
      </c>
      <c r="F18" s="14" t="str">
        <f t="shared" si="0"/>
        <v>金曜</v>
      </c>
      <c r="G18" s="3">
        <v>0</v>
      </c>
    </row>
    <row r="19" spans="5:7" x14ac:dyDescent="0.2">
      <c r="E19" s="2">
        <v>18</v>
      </c>
      <c r="F19" s="14" t="str">
        <f t="shared" si="0"/>
        <v>土曜</v>
      </c>
      <c r="G19" s="3">
        <v>1</v>
      </c>
    </row>
    <row r="20" spans="5:7" x14ac:dyDescent="0.2">
      <c r="E20" s="2">
        <v>19</v>
      </c>
      <c r="F20" s="14" t="str">
        <f t="shared" ref="F20:F32" si="1">IF(E20="","",CHOOSE(WEEKDAY(DATE($C$2,$D$2,E20),2),"月曜","火曜","水曜","木曜","金曜","土曜","日曜"))</f>
        <v>日曜</v>
      </c>
      <c r="G20" s="3">
        <v>2</v>
      </c>
    </row>
    <row r="21" spans="5:7" x14ac:dyDescent="0.2">
      <c r="E21" s="2">
        <v>20</v>
      </c>
      <c r="F21" s="14" t="str">
        <f t="shared" si="1"/>
        <v>月曜</v>
      </c>
      <c r="G21" s="3">
        <v>0</v>
      </c>
    </row>
    <row r="22" spans="5:7" x14ac:dyDescent="0.2">
      <c r="E22" s="2">
        <v>21</v>
      </c>
      <c r="F22" s="14" t="str">
        <f t="shared" si="1"/>
        <v>火曜</v>
      </c>
      <c r="G22" s="3">
        <v>0</v>
      </c>
    </row>
    <row r="23" spans="5:7" x14ac:dyDescent="0.2">
      <c r="E23" s="2">
        <v>22</v>
      </c>
      <c r="F23" s="14" t="str">
        <f t="shared" si="1"/>
        <v>水曜</v>
      </c>
      <c r="G23" s="3">
        <v>0</v>
      </c>
    </row>
    <row r="24" spans="5:7" x14ac:dyDescent="0.2">
      <c r="E24" s="2">
        <v>23</v>
      </c>
      <c r="F24" s="14" t="str">
        <f t="shared" si="1"/>
        <v>木曜</v>
      </c>
      <c r="G24" s="3">
        <v>0</v>
      </c>
    </row>
    <row r="25" spans="5:7" x14ac:dyDescent="0.2">
      <c r="E25" s="2">
        <v>24</v>
      </c>
      <c r="F25" s="14" t="str">
        <f t="shared" si="1"/>
        <v>金曜</v>
      </c>
      <c r="G25" s="3">
        <v>0</v>
      </c>
    </row>
    <row r="26" spans="5:7" x14ac:dyDescent="0.2">
      <c r="E26" s="2">
        <v>25</v>
      </c>
      <c r="F26" s="14" t="str">
        <f t="shared" si="1"/>
        <v>土曜</v>
      </c>
      <c r="G26" s="3">
        <v>1</v>
      </c>
    </row>
    <row r="27" spans="5:7" x14ac:dyDescent="0.2">
      <c r="E27" s="2">
        <v>26</v>
      </c>
      <c r="F27" s="14" t="str">
        <f t="shared" si="1"/>
        <v>日曜</v>
      </c>
      <c r="G27" s="3">
        <v>2</v>
      </c>
    </row>
    <row r="28" spans="5:7" x14ac:dyDescent="0.2">
      <c r="E28" s="2">
        <v>27</v>
      </c>
      <c r="F28" s="14" t="str">
        <f t="shared" si="1"/>
        <v>月曜</v>
      </c>
      <c r="G28" s="3">
        <v>0</v>
      </c>
    </row>
    <row r="29" spans="5:7" x14ac:dyDescent="0.2">
      <c r="E29" s="2">
        <v>28</v>
      </c>
      <c r="F29" s="14" t="str">
        <f t="shared" si="1"/>
        <v>火曜</v>
      </c>
      <c r="G29" s="3">
        <v>0</v>
      </c>
    </row>
    <row r="30" spans="5:7" x14ac:dyDescent="0.2">
      <c r="E30" s="2">
        <f>IF((VLOOKUP($D$2,$A$2:$B$13,2))=2,IF($C$4=0,29,""),29)</f>
        <v>29</v>
      </c>
      <c r="F30" s="14" t="str">
        <f t="shared" si="1"/>
        <v>水曜</v>
      </c>
      <c r="G30" s="3">
        <v>3</v>
      </c>
    </row>
    <row r="31" spans="5:7" x14ac:dyDescent="0.2">
      <c r="E31" s="2">
        <f>IF((VLOOKUP($D$2,$A$2:$B$13,2))&lt;2,30,"")</f>
        <v>30</v>
      </c>
      <c r="F31" s="14" t="str">
        <f t="shared" si="1"/>
        <v>木曜</v>
      </c>
      <c r="G31" s="3">
        <v>0</v>
      </c>
    </row>
    <row r="32" spans="5:7" x14ac:dyDescent="0.2">
      <c r="E32" s="4" t="str">
        <f>IF((VLOOKUP($D$2,$A$2:$B$13,2))=0,31,"")</f>
        <v/>
      </c>
      <c r="F32" s="15" t="str">
        <f t="shared" si="1"/>
        <v/>
      </c>
      <c r="G32" s="5">
        <v>0</v>
      </c>
    </row>
  </sheetData>
  <sheetProtection algorithmName="SHA-512" hashValue="ovhz/vxDWbSR25ceY1eMJU858PVeSj1BZRqePkhjlMhrrdRa4p6a2vm4YITn/4fMFg7WISUGopDABOQz6Z05yg==" saltValue="agBYOm74bXhepw8IIM0Trw==" spinCount="100000" sheet="1" objects="1" scenarios="1"/>
  <dataConsolidate/>
  <phoneticPr fontId="22"/>
  <printOptions gridLinesSet="0"/>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6</vt:i4>
      </vt:variant>
    </vt:vector>
  </HeadingPairs>
  <TitlesOfParts>
    <vt:vector size="16" baseType="lpstr">
      <vt:lpstr>入力説明書</vt:lpstr>
      <vt:lpstr>祝日表</vt:lpstr>
      <vt:lpstr>勤務実績（月間）</vt:lpstr>
      <vt:lpstr>経費請求シート</vt:lpstr>
      <vt:lpstr>業務請求分明細（1シート目）</vt:lpstr>
      <vt:lpstr>業務請求分明細（2シート目）</vt:lpstr>
      <vt:lpstr>業務請求分明細（3シート目）</vt:lpstr>
      <vt:lpstr>エラーメッセージ一覧</vt:lpstr>
      <vt:lpstr>辞書</vt:lpstr>
      <vt:lpstr>データ</vt:lpstr>
      <vt:lpstr>エラーメッセージ一覧!Print_Area</vt:lpstr>
      <vt:lpstr>'勤務実績（月間）'!Print_Area</vt:lpstr>
      <vt:lpstr>種類</vt:lpstr>
      <vt:lpstr>所属</vt:lpstr>
      <vt:lpstr>費目a</vt:lpstr>
      <vt:lpstr>費目b</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伊藤 周平</dc:creator>
  <cp:lastModifiedBy>Totsuka Totsuka</cp:lastModifiedBy>
  <cp:revision>1</cp:revision>
  <cp:lastPrinted>2016-12-15T11:26:57Z</cp:lastPrinted>
  <dcterms:created xsi:type="dcterms:W3CDTF">1998-04-02T00:45:37Z</dcterms:created>
  <dcterms:modified xsi:type="dcterms:W3CDTF">2026-05-09T14:43:17Z</dcterms:modified>
</cp:coreProperties>
</file>